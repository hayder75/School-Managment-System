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primary teachers" sheetId="1" r:id="rId1"/>
    <sheet name="supportive" sheetId="2" r:id="rId2"/>
    <sheet name="students" sheetId="3" r:id="rId3"/>
    <sheet name="period" sheetId="4" r:id="rId4"/>
    <sheet name="management" sheetId="5" r:id="rId5"/>
    <sheet name="kG staff" sheetId="6" r:id="rId6"/>
  </sheets>
  <definedNames>
    <definedName name="_xlnm.Print_Area" localSheetId="5">'kG staff'!$A$1:$J$44</definedName>
    <definedName name="_xlnm.Print_Area" localSheetId="4">management!$A$1:$G$13</definedName>
    <definedName name="_xlnm.Print_Area" localSheetId="0">'primary teachers'!$A$1:$M$53</definedName>
  </definedNames>
  <calcPr calcId="144525"/>
</workbook>
</file>

<file path=xl/calcChain.xml><?xml version="1.0" encoding="utf-8"?>
<calcChain xmlns="http://schemas.openxmlformats.org/spreadsheetml/2006/main">
  <c r="D22" i="4" l="1"/>
  <c r="C21" i="4"/>
  <c r="D21" i="4"/>
  <c r="B21" i="4"/>
  <c r="C19" i="4"/>
  <c r="D19" i="4"/>
  <c r="B19" i="4"/>
  <c r="B15" i="3"/>
  <c r="AC6" i="3"/>
  <c r="AB6" i="3"/>
  <c r="AA6" i="3"/>
  <c r="W8" i="3"/>
  <c r="W9" i="3"/>
  <c r="W10" i="3"/>
  <c r="W11" i="3"/>
  <c r="W12" i="3"/>
  <c r="W13" i="3"/>
  <c r="W14" i="3"/>
  <c r="W7" i="3"/>
  <c r="X5" i="3"/>
  <c r="Y5" i="3"/>
  <c r="X6" i="3"/>
  <c r="Y6" i="3"/>
  <c r="X7" i="3"/>
  <c r="Y7" i="3"/>
  <c r="X8" i="3"/>
  <c r="Y8" i="3"/>
  <c r="X9" i="3"/>
  <c r="AA14" i="3" s="1"/>
  <c r="AA15" i="3" s="1"/>
  <c r="Y9" i="3"/>
  <c r="X10" i="3"/>
  <c r="Y10" i="3"/>
  <c r="X11" i="3"/>
  <c r="Y11" i="3"/>
  <c r="X12" i="3"/>
  <c r="Y12" i="3"/>
  <c r="X13" i="3"/>
  <c r="Y13" i="3"/>
  <c r="X14" i="3"/>
  <c r="Y14" i="3"/>
  <c r="Z5" i="3"/>
  <c r="Z6" i="3"/>
  <c r="T5" i="3"/>
  <c r="T6" i="3"/>
  <c r="T7" i="3"/>
  <c r="T8" i="3"/>
  <c r="T9" i="3"/>
  <c r="T10" i="3"/>
  <c r="T11" i="3"/>
  <c r="T12" i="3"/>
  <c r="T13" i="3"/>
  <c r="T14" i="3"/>
  <c r="Q5" i="3"/>
  <c r="Q6" i="3"/>
  <c r="Q7" i="3"/>
  <c r="Q8" i="3"/>
  <c r="Q9" i="3"/>
  <c r="Q10" i="3"/>
  <c r="Q11" i="3"/>
  <c r="Q12" i="3"/>
  <c r="Q13" i="3"/>
  <c r="Q14" i="3"/>
  <c r="N5" i="3"/>
  <c r="N6" i="3"/>
  <c r="N7" i="3"/>
  <c r="N8" i="3"/>
  <c r="N9" i="3"/>
  <c r="N10" i="3"/>
  <c r="N11" i="3"/>
  <c r="N12" i="3"/>
  <c r="N13" i="3"/>
  <c r="N14" i="3"/>
  <c r="K5" i="3"/>
  <c r="K6" i="3"/>
  <c r="K7" i="3"/>
  <c r="K8" i="3"/>
  <c r="K9" i="3"/>
  <c r="K10" i="3"/>
  <c r="K11" i="3"/>
  <c r="K12" i="3"/>
  <c r="K13" i="3"/>
  <c r="K14" i="3"/>
  <c r="H5" i="3"/>
  <c r="H6" i="3"/>
  <c r="H7" i="3"/>
  <c r="H8" i="3"/>
  <c r="H9" i="3"/>
  <c r="H10" i="3"/>
  <c r="H11" i="3"/>
  <c r="H12" i="3"/>
  <c r="H13" i="3"/>
  <c r="H14" i="3"/>
  <c r="E5" i="3"/>
  <c r="E6" i="3"/>
  <c r="E7" i="3"/>
  <c r="E8" i="3"/>
  <c r="Z8" i="3" s="1"/>
  <c r="E9" i="3"/>
  <c r="Z9" i="3" s="1"/>
  <c r="E10" i="3"/>
  <c r="Z10" i="3" s="1"/>
  <c r="E11" i="3"/>
  <c r="E12" i="3"/>
  <c r="Z12" i="3" s="1"/>
  <c r="E13" i="3"/>
  <c r="E14" i="3"/>
  <c r="Z14" i="3" s="1"/>
  <c r="Z4" i="3"/>
  <c r="Y4" i="3"/>
  <c r="X4" i="3"/>
  <c r="T4" i="3"/>
  <c r="Q4" i="3"/>
  <c r="N4" i="3"/>
  <c r="K4" i="3"/>
  <c r="H4" i="3"/>
  <c r="E4" i="3"/>
  <c r="AB14" i="3" l="1"/>
  <c r="AB15" i="3" s="1"/>
  <c r="AC15" i="3" s="1"/>
  <c r="AC14" i="3"/>
  <c r="Z13" i="3"/>
  <c r="Z11" i="3"/>
  <c r="Z7" i="3"/>
  <c r="J19" i="4"/>
  <c r="K19" i="4"/>
  <c r="L19" i="4"/>
  <c r="I19" i="4"/>
  <c r="F19" i="4" l="1"/>
  <c r="F21" i="4" s="1"/>
  <c r="G19" i="4"/>
  <c r="G21" i="4" s="1"/>
  <c r="H19" i="4"/>
  <c r="H21" i="4" s="1"/>
  <c r="I21" i="4"/>
  <c r="J21" i="4"/>
  <c r="K21" i="4"/>
  <c r="L21" i="4"/>
  <c r="E19" i="4"/>
  <c r="E21" i="4" s="1"/>
</calcChain>
</file>

<file path=xl/sharedStrings.xml><?xml version="1.0" encoding="utf-8"?>
<sst xmlns="http://schemas.openxmlformats.org/spreadsheetml/2006/main" count="926" uniqueCount="368">
  <si>
    <t>የመምህራን መረጃ</t>
  </si>
  <si>
    <t>ተ.ቁ</t>
  </si>
  <si>
    <t>ፆታ</t>
  </si>
  <si>
    <t>የተ/ት ደረጃ</t>
  </si>
  <si>
    <t>የሚያስተምርበት</t>
  </si>
  <si>
    <t>ክፍል</t>
  </si>
  <si>
    <t xml:space="preserve">የሴክሽን </t>
  </si>
  <si>
    <t>ብዛት</t>
  </si>
  <si>
    <t>በሳምንት ያለው</t>
  </si>
  <si>
    <t>ክ/ጊዜ ብዛት</t>
  </si>
  <si>
    <t xml:space="preserve">የሚያስተምረው </t>
  </si>
  <si>
    <t>ት/ት</t>
  </si>
  <si>
    <t xml:space="preserve">የሰለጠነበት </t>
  </si>
  <si>
    <t>የት/ት ዓይነት</t>
  </si>
  <si>
    <t>ምርመራ</t>
  </si>
  <si>
    <t>የሥራ መደብ</t>
  </si>
  <si>
    <t>የሠራተኞች መረጃ</t>
  </si>
  <si>
    <t>LKG</t>
  </si>
  <si>
    <t>UKG</t>
  </si>
  <si>
    <t>A</t>
  </si>
  <si>
    <t>B</t>
  </si>
  <si>
    <t>C</t>
  </si>
  <si>
    <t>D</t>
  </si>
  <si>
    <t>E</t>
  </si>
  <si>
    <t>F</t>
  </si>
  <si>
    <t>G</t>
  </si>
  <si>
    <t>Nersary</t>
  </si>
  <si>
    <t>Sidamu</t>
  </si>
  <si>
    <t>Amharic</t>
  </si>
  <si>
    <t>English</t>
  </si>
  <si>
    <t>moral/ citizen</t>
  </si>
  <si>
    <t>Social studies (SoS)</t>
  </si>
  <si>
    <t>Career &amp; Technical educ (CTE)</t>
  </si>
  <si>
    <t>Performing visual arts (PVA)</t>
  </si>
  <si>
    <t>ICT</t>
  </si>
  <si>
    <t>HPE</t>
  </si>
  <si>
    <t>Total period per week (TPW)</t>
  </si>
  <si>
    <t>Maths</t>
  </si>
  <si>
    <t>Grand Total</t>
  </si>
  <si>
    <t>M</t>
  </si>
  <si>
    <t>Sum</t>
  </si>
  <si>
    <t>Total</t>
  </si>
  <si>
    <t>No of sec</t>
  </si>
  <si>
    <t>Grade</t>
  </si>
  <si>
    <t>sum</t>
  </si>
  <si>
    <t>STUDENTS DATA</t>
  </si>
  <si>
    <t>Spoken  English</t>
  </si>
  <si>
    <t xml:space="preserve">envi/ General Science </t>
  </si>
  <si>
    <t>GRADE</t>
  </si>
  <si>
    <t>Subject</t>
  </si>
  <si>
    <t xml:space="preserve">weekly period distribution </t>
  </si>
  <si>
    <t>estetics</t>
  </si>
  <si>
    <t>Hand craft</t>
  </si>
  <si>
    <t xml:space="preserve"> social &amp; motion  Devt</t>
  </si>
  <si>
    <t>Art&amp; aesthetics</t>
  </si>
  <si>
    <t xml:space="preserve">የመምህሩ ሥም </t>
  </si>
  <si>
    <t>Amanue AbebelM</t>
  </si>
  <si>
    <t>BA</t>
  </si>
  <si>
    <t>sport</t>
  </si>
  <si>
    <t>Sport</t>
  </si>
  <si>
    <t>1 &amp; 2</t>
  </si>
  <si>
    <t>Mesay F/yesus</t>
  </si>
  <si>
    <t>3, 4, &amp; 6</t>
  </si>
  <si>
    <t>Berhanu Kebede</t>
  </si>
  <si>
    <t>PhD</t>
  </si>
  <si>
    <t>5, 7, &amp; 8</t>
  </si>
  <si>
    <t>mekdes Ayele</t>
  </si>
  <si>
    <t>Diploma</t>
  </si>
  <si>
    <t>Amhric</t>
  </si>
  <si>
    <t>2A - F</t>
  </si>
  <si>
    <t>Eyerusalem Arga</t>
  </si>
  <si>
    <t>5C-E &amp; 8</t>
  </si>
  <si>
    <t>workinesh Berhanu</t>
  </si>
  <si>
    <t>Nigist Tema</t>
  </si>
  <si>
    <t>1A - F</t>
  </si>
  <si>
    <t>Aster Tsgaye</t>
  </si>
  <si>
    <t>1G &amp; 3</t>
  </si>
  <si>
    <t>Silesh Kura</t>
  </si>
  <si>
    <t>5A, B &amp; 7</t>
  </si>
  <si>
    <t>Akalu Girma</t>
  </si>
  <si>
    <t>Biology</t>
  </si>
  <si>
    <t>Science</t>
  </si>
  <si>
    <t>Yehualshet Gadissa</t>
  </si>
  <si>
    <t>BSc</t>
  </si>
  <si>
    <t>1G &amp; 4</t>
  </si>
  <si>
    <t>Mengistu Alemayehu</t>
  </si>
  <si>
    <t>2G &amp; 3</t>
  </si>
  <si>
    <t>Fasika Tomas</t>
  </si>
  <si>
    <t xml:space="preserve">2A - F          </t>
  </si>
  <si>
    <t>Geahign Terefe</t>
  </si>
  <si>
    <t>MSc</t>
  </si>
  <si>
    <t>Tigabu Desalegn</t>
  </si>
  <si>
    <t>Fasipa Tamiru</t>
  </si>
  <si>
    <t>Chemistry</t>
  </si>
  <si>
    <t>Science &amp; ICT</t>
  </si>
  <si>
    <t>7 &amp; 5A-C</t>
  </si>
  <si>
    <t>25+6</t>
  </si>
  <si>
    <t>Dereje Mekonnen</t>
  </si>
  <si>
    <t>Science &amp; maths</t>
  </si>
  <si>
    <t>8 &amp; 2F ,G</t>
  </si>
  <si>
    <t>20+12</t>
  </si>
  <si>
    <t>Mathiwos Ealias</t>
  </si>
  <si>
    <t>maths</t>
  </si>
  <si>
    <t>Sintayehu Hailu</t>
  </si>
  <si>
    <t>1G &amp; 8</t>
  </si>
  <si>
    <t>6+20</t>
  </si>
  <si>
    <t>14+14</t>
  </si>
  <si>
    <t>10+10+10</t>
  </si>
  <si>
    <t>10+10+8</t>
  </si>
  <si>
    <t>15+12</t>
  </si>
  <si>
    <t>5+25</t>
  </si>
  <si>
    <t>10+15</t>
  </si>
  <si>
    <t>Wondosen Dejene</t>
  </si>
  <si>
    <t>Million Berhanu</t>
  </si>
  <si>
    <t>Dereje Degusew</t>
  </si>
  <si>
    <t>Henok Dagne</t>
  </si>
  <si>
    <t>2A-E</t>
  </si>
  <si>
    <t>Amanuel Sodano</t>
  </si>
  <si>
    <t>Bsc</t>
  </si>
  <si>
    <t>Berket Beabih</t>
  </si>
  <si>
    <t>Berket Dilnesaw</t>
  </si>
  <si>
    <t>Spoken english</t>
  </si>
  <si>
    <t>Awol Muzemin</t>
  </si>
  <si>
    <t>Yalew Solomon</t>
  </si>
  <si>
    <t>1A-F</t>
  </si>
  <si>
    <t>Johnny Hailu</t>
  </si>
  <si>
    <t>English/ french</t>
  </si>
  <si>
    <t>10+20</t>
  </si>
  <si>
    <t>Berihanu Naramo</t>
  </si>
  <si>
    <t xml:space="preserve"> English</t>
  </si>
  <si>
    <t>4 (spoken)&amp;8</t>
  </si>
  <si>
    <t>1 &amp; 3</t>
  </si>
  <si>
    <t>Betre work Belete</t>
  </si>
  <si>
    <t>Assea Abebo</t>
  </si>
  <si>
    <t>Ayele Alemayehu</t>
  </si>
  <si>
    <t>MA</t>
  </si>
  <si>
    <t>Engilish</t>
  </si>
  <si>
    <t>Aklilu Chufamo</t>
  </si>
  <si>
    <t>Bernabas Dibaba</t>
  </si>
  <si>
    <t>Mengitu Teshome</t>
  </si>
  <si>
    <t>Social</t>
  </si>
  <si>
    <t>Moral/citizen</t>
  </si>
  <si>
    <t>7 &amp; 8</t>
  </si>
  <si>
    <t>5 &amp; 8</t>
  </si>
  <si>
    <t>Yosef Muluneh</t>
  </si>
  <si>
    <t>Geography</t>
  </si>
  <si>
    <t>Biniyam wondimu</t>
  </si>
  <si>
    <t>History</t>
  </si>
  <si>
    <t>3 &amp; 4</t>
  </si>
  <si>
    <t>15+15</t>
  </si>
  <si>
    <t>6 &amp; 7</t>
  </si>
  <si>
    <t>Mitiku Yetera</t>
  </si>
  <si>
    <t>2 &amp; 3D,E</t>
  </si>
  <si>
    <t>PVA</t>
  </si>
  <si>
    <t>21+6</t>
  </si>
  <si>
    <t>Biruk tesfa Getachew</t>
  </si>
  <si>
    <t>4, 7, 8</t>
  </si>
  <si>
    <t>15+10+8</t>
  </si>
  <si>
    <t>Dawit Ermias</t>
  </si>
  <si>
    <t>1 &amp; 3A-C</t>
  </si>
  <si>
    <t>21+9</t>
  </si>
  <si>
    <r>
      <t xml:space="preserve">PVA &amp; </t>
    </r>
    <r>
      <rPr>
        <sz val="11"/>
        <color rgb="FFFF0000"/>
        <rFont val="Calibri"/>
        <family val="2"/>
        <scheme val="minor"/>
      </rPr>
      <t>CTE</t>
    </r>
  </si>
  <si>
    <t>Yohannis Assefa</t>
  </si>
  <si>
    <t>Engineering</t>
  </si>
  <si>
    <t>15+8</t>
  </si>
  <si>
    <t>Nebiyu Yalew</t>
  </si>
  <si>
    <t>Accounting</t>
  </si>
  <si>
    <t>15+10</t>
  </si>
  <si>
    <t>Andulem Belay</t>
  </si>
  <si>
    <t>IT</t>
  </si>
  <si>
    <t>5D,E &amp; 6,7,8</t>
  </si>
  <si>
    <t>4+10+10+8</t>
  </si>
  <si>
    <t>Samuel Bogale</t>
  </si>
  <si>
    <t>Sidamu Afo</t>
  </si>
  <si>
    <t>14+10</t>
  </si>
  <si>
    <t>1&amp;3</t>
  </si>
  <si>
    <t>Abayneh Nushe</t>
  </si>
  <si>
    <t>2 &amp; 4</t>
  </si>
  <si>
    <t>Fisum Tadele</t>
  </si>
  <si>
    <t xml:space="preserve"> moral &amp; social</t>
  </si>
  <si>
    <t>Kashun Kanchisa</t>
  </si>
  <si>
    <t>Moral&amp; social</t>
  </si>
  <si>
    <t>15+16</t>
  </si>
  <si>
    <t>Meseret Agee</t>
  </si>
  <si>
    <t>2G &amp; 4</t>
  </si>
  <si>
    <t>peace &amp; conflict</t>
  </si>
  <si>
    <t>Aesthetics</t>
  </si>
  <si>
    <t>Agriculture</t>
  </si>
  <si>
    <t>employee's name</t>
  </si>
  <si>
    <t>lij alem Gemechu</t>
  </si>
  <si>
    <t>Cliical Nursing</t>
  </si>
  <si>
    <t>Elias Danieal</t>
  </si>
  <si>
    <t>Acc &amp; finance</t>
  </si>
  <si>
    <t>Finance head</t>
  </si>
  <si>
    <t>Kidist Belay</t>
  </si>
  <si>
    <t>Business management</t>
  </si>
  <si>
    <t>Ass finance head</t>
  </si>
  <si>
    <t>Firehowot Girma</t>
  </si>
  <si>
    <t>Business &amp; Economics</t>
  </si>
  <si>
    <t>cashier</t>
  </si>
  <si>
    <t>Simrat woldu</t>
  </si>
  <si>
    <t>Accountant</t>
  </si>
  <si>
    <t>Kiftew workineh</t>
  </si>
  <si>
    <t>Negash Tsegaye</t>
  </si>
  <si>
    <t>Librerian</t>
  </si>
  <si>
    <t>Human resource</t>
  </si>
  <si>
    <t>Tayech Melaku</t>
  </si>
  <si>
    <t>12th</t>
  </si>
  <si>
    <t>store keeper</t>
  </si>
  <si>
    <t>Amarech Banda</t>
  </si>
  <si>
    <t xml:space="preserve">F </t>
  </si>
  <si>
    <t>Level 4</t>
  </si>
  <si>
    <t>customer contact</t>
  </si>
  <si>
    <t>Secretary</t>
  </si>
  <si>
    <t>Chala Israel</t>
  </si>
  <si>
    <t>General service</t>
  </si>
  <si>
    <t>Abebech Nigessie</t>
  </si>
  <si>
    <t>8th</t>
  </si>
  <si>
    <t>copier</t>
  </si>
  <si>
    <t>Medhanit Ledamo</t>
  </si>
  <si>
    <t>Janitor</t>
  </si>
  <si>
    <t>Tarikua Butana</t>
  </si>
  <si>
    <t>6th</t>
  </si>
  <si>
    <t>Guard</t>
  </si>
  <si>
    <t>Danieal Dalebo</t>
  </si>
  <si>
    <t>9th</t>
  </si>
  <si>
    <t>Filiphos Wotango</t>
  </si>
  <si>
    <t>5th</t>
  </si>
  <si>
    <t>Abraham Dukamo</t>
  </si>
  <si>
    <t>Tomas Dantamo</t>
  </si>
  <si>
    <t>Nigussie Ayele</t>
  </si>
  <si>
    <t>Samuel Bakalo</t>
  </si>
  <si>
    <t>Abebe Asha</t>
  </si>
  <si>
    <t>Desta Kia</t>
  </si>
  <si>
    <t xml:space="preserve">Guard </t>
  </si>
  <si>
    <t>Coordinator</t>
  </si>
  <si>
    <t>Fikre Zeleke</t>
  </si>
  <si>
    <t>Tirunesh Tocho</t>
  </si>
  <si>
    <t>Level 1</t>
  </si>
  <si>
    <t>Child care</t>
  </si>
  <si>
    <t>Ejigayehu Gebre</t>
  </si>
  <si>
    <t>Abebech Mengesh</t>
  </si>
  <si>
    <t>7th</t>
  </si>
  <si>
    <t>Demekech Mena</t>
  </si>
  <si>
    <t>Meseret Yoseph</t>
  </si>
  <si>
    <t>10th</t>
  </si>
  <si>
    <t>Mintiwab Bogale</t>
  </si>
  <si>
    <t>Mesawot dale</t>
  </si>
  <si>
    <t>SiniduMegebu</t>
  </si>
  <si>
    <t>Zeritu Timotios</t>
  </si>
  <si>
    <t>Ayelech Motole</t>
  </si>
  <si>
    <t>3rd</t>
  </si>
  <si>
    <t>Birtukan Bancha</t>
  </si>
  <si>
    <t>Tirsit Gebre</t>
  </si>
  <si>
    <t>Zinash Zewge</t>
  </si>
  <si>
    <t>Ass/ teacher</t>
  </si>
  <si>
    <t>Meron Alibo</t>
  </si>
  <si>
    <t>Accunting</t>
  </si>
  <si>
    <t>Bizunesh Gebre</t>
  </si>
  <si>
    <t>Selamawit Samueal</t>
  </si>
  <si>
    <t>Abinet Tsega</t>
  </si>
  <si>
    <t>Tsehay Bekele</t>
  </si>
  <si>
    <t>Seblewongel Gagade</t>
  </si>
  <si>
    <t>Bekelech Kebede</t>
  </si>
  <si>
    <t>IT assistance</t>
  </si>
  <si>
    <t>Jornalism &amp; comminication</t>
  </si>
  <si>
    <t>Zebider Zenebe</t>
  </si>
  <si>
    <t>certificate</t>
  </si>
  <si>
    <t>secretary Sci</t>
  </si>
  <si>
    <t>KG</t>
  </si>
  <si>
    <t>Marta Sahle</t>
  </si>
  <si>
    <t>Hayamnot Getachew</t>
  </si>
  <si>
    <t>Mihiret Ledamo</t>
  </si>
  <si>
    <t>Bikinesh Meskele</t>
  </si>
  <si>
    <t>Senait Mota</t>
  </si>
  <si>
    <t>Zinash Wae</t>
  </si>
  <si>
    <t>Level 2</t>
  </si>
  <si>
    <t>comminication Technology</t>
  </si>
  <si>
    <t>Aberash Workineh</t>
  </si>
  <si>
    <t>Alemnesh Nuke</t>
  </si>
  <si>
    <t>Abaynesh Samuel</t>
  </si>
  <si>
    <t>Genet Mirga</t>
  </si>
  <si>
    <t>sex</t>
  </si>
  <si>
    <t>Qualification</t>
  </si>
  <si>
    <t>subect</t>
  </si>
  <si>
    <t>Position</t>
  </si>
  <si>
    <t>Remark</t>
  </si>
  <si>
    <t>Endalkachew Abate</t>
  </si>
  <si>
    <t>V/director</t>
  </si>
  <si>
    <t>Asaye Workineh</t>
  </si>
  <si>
    <t>Bilogy</t>
  </si>
  <si>
    <t>Quality educ head</t>
  </si>
  <si>
    <t>Zelalem Ferede</t>
  </si>
  <si>
    <t>Unit Leader</t>
  </si>
  <si>
    <t>Yene Yohannis</t>
  </si>
  <si>
    <t xml:space="preserve">mekidim alem </t>
  </si>
  <si>
    <t>Akanaw Assefa</t>
  </si>
  <si>
    <t>Educ leadership &amp; mngt</t>
  </si>
  <si>
    <t>Plan &amp;Budget</t>
  </si>
  <si>
    <t>Almaz Gebre</t>
  </si>
  <si>
    <t>certficate</t>
  </si>
  <si>
    <t>Preschool teacher educ</t>
  </si>
  <si>
    <t>managing staff</t>
  </si>
  <si>
    <t>Head director</t>
  </si>
  <si>
    <t>Head Director</t>
  </si>
  <si>
    <t>Tigist Getachew</t>
  </si>
  <si>
    <t>social science</t>
  </si>
  <si>
    <t>Business admi</t>
  </si>
  <si>
    <t xml:space="preserve">Tigst Kebede </t>
  </si>
  <si>
    <t>Nursing</t>
  </si>
  <si>
    <t>KG certificate</t>
  </si>
  <si>
    <t>self content</t>
  </si>
  <si>
    <t>Nursery</t>
  </si>
  <si>
    <t>Mestawot Mamo</t>
  </si>
  <si>
    <t>Genet Lakew</t>
  </si>
  <si>
    <t>Rahel Belay</t>
  </si>
  <si>
    <t>Banchayehu Admasu</t>
  </si>
  <si>
    <t>Mistre Ejigu</t>
  </si>
  <si>
    <t>Birtukan Shaka</t>
  </si>
  <si>
    <t>Bisness management</t>
  </si>
  <si>
    <t>Meseret Mamo</t>
  </si>
  <si>
    <t>sociology</t>
  </si>
  <si>
    <t>Amelework Almayhu</t>
  </si>
  <si>
    <t>Tiblest Arefayne</t>
  </si>
  <si>
    <t>Yemiwdish Mengesh</t>
  </si>
  <si>
    <t>10+2</t>
  </si>
  <si>
    <t>Elsa Zerihun</t>
  </si>
  <si>
    <t>management</t>
  </si>
  <si>
    <t>Tigst Gerji</t>
  </si>
  <si>
    <t>Mahlet Fikre</t>
  </si>
  <si>
    <t>Fana Mulat</t>
  </si>
  <si>
    <t>Asmerawork Nega</t>
  </si>
  <si>
    <t>Psycology</t>
  </si>
  <si>
    <t>Tagesech Ashe</t>
  </si>
  <si>
    <t>Assist</t>
  </si>
  <si>
    <t>Tseganesh Zeleke</t>
  </si>
  <si>
    <t>Meskerem Simon</t>
  </si>
  <si>
    <t>Community Development</t>
  </si>
  <si>
    <t>Firehiwot Tesfaye</t>
  </si>
  <si>
    <t>Marshet Daguye</t>
  </si>
  <si>
    <t>Amarech Asha</t>
  </si>
  <si>
    <t>Birhanesh Amanuel</t>
  </si>
  <si>
    <t>Tsehay Yonis</t>
  </si>
  <si>
    <t>Zinash Tesfaye</t>
  </si>
  <si>
    <t>Tizita Nigussie</t>
  </si>
  <si>
    <t>Akal Getachew</t>
  </si>
  <si>
    <t>Mekides Matiwos</t>
  </si>
  <si>
    <t>Kidist Alemu</t>
  </si>
  <si>
    <t>Alemnesh Banti</t>
  </si>
  <si>
    <t>Wogayehu Teshome</t>
  </si>
  <si>
    <t>Tarikua Beyene</t>
  </si>
  <si>
    <t>Asegedech Hailu</t>
  </si>
  <si>
    <t>Seblework Solomon</t>
  </si>
  <si>
    <t>Baby sitter</t>
  </si>
  <si>
    <t>Adebe Tilahun</t>
  </si>
  <si>
    <t>Etalem Demissie</t>
  </si>
  <si>
    <t>Tamenesh Tafese</t>
  </si>
  <si>
    <t>Medihanit Tolla</t>
  </si>
  <si>
    <t>Kidist Worku</t>
  </si>
  <si>
    <t>preschool teaching</t>
  </si>
  <si>
    <t>10+3</t>
  </si>
  <si>
    <t>Phsics</t>
  </si>
  <si>
    <t>Gizaw Adem</t>
  </si>
  <si>
    <t>በሳምንት ያለው ክ/ጊዜ ብዛት</t>
  </si>
  <si>
    <t xml:space="preserve">መደበኛ </t>
  </si>
  <si>
    <t>የትርፍ ሰዓት</t>
  </si>
  <si>
    <t>ድምር</t>
  </si>
  <si>
    <t>OT /week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</si>
</sst>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DashDotDot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mediumDashDotDot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thin">
        <color auto="1"/>
      </right>
      <top style="dashed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0" borderId="6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1" fillId="2" borderId="5" xfId="0" applyFont="1" applyFill="1" applyBorder="1" applyAlignment="1"/>
    <xf numFmtId="0" fontId="1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9" xfId="0" applyFill="1" applyBorder="1"/>
    <xf numFmtId="0" fontId="1" fillId="2" borderId="8" xfId="0" applyFont="1" applyFill="1" applyBorder="1" applyAlignment="1"/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/>
    <xf numFmtId="0" fontId="1" fillId="2" borderId="4" xfId="0" applyFont="1" applyFill="1" applyBorder="1"/>
    <xf numFmtId="0" fontId="3" fillId="0" borderId="4" xfId="0" applyFont="1" applyBorder="1"/>
    <xf numFmtId="0" fontId="3" fillId="0" borderId="6" xfId="0" applyFont="1" applyBorder="1"/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0" fillId="0" borderId="4" xfId="0" applyFont="1" applyBorder="1"/>
    <xf numFmtId="0" fontId="7" fillId="0" borderId="4" xfId="0" applyFont="1" applyBorder="1"/>
    <xf numFmtId="0" fontId="3" fillId="4" borderId="4" xfId="0" applyFont="1" applyFill="1" applyBorder="1"/>
    <xf numFmtId="0" fontId="3" fillId="4" borderId="6" xfId="0" applyFont="1" applyFill="1" applyBorder="1"/>
    <xf numFmtId="0" fontId="3" fillId="0" borderId="2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4" borderId="4" xfId="0" applyFont="1" applyFill="1" applyBorder="1"/>
    <xf numFmtId="0" fontId="6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/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6" fillId="4" borderId="20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1" fillId="3" borderId="0" xfId="0" applyFont="1" applyFill="1" applyBorder="1"/>
    <xf numFmtId="0" fontId="1" fillId="3" borderId="22" xfId="0" applyFont="1" applyFill="1" applyBorder="1"/>
    <xf numFmtId="0" fontId="3" fillId="3" borderId="5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  <xf numFmtId="0" fontId="1" fillId="3" borderId="26" xfId="0" applyFont="1" applyFill="1" applyBorder="1"/>
    <xf numFmtId="0" fontId="1" fillId="3" borderId="25" xfId="0" applyFont="1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5" xfId="0" applyFill="1" applyBorder="1"/>
    <xf numFmtId="0" fontId="1" fillId="3" borderId="20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0" fillId="0" borderId="5" xfId="0" applyBorder="1" applyAlignment="1">
      <alignment horizontal="left"/>
    </xf>
    <xf numFmtId="0" fontId="0" fillId="3" borderId="6" xfId="0" applyFill="1" applyBorder="1"/>
    <xf numFmtId="0" fontId="0" fillId="3" borderId="5" xfId="0" applyFill="1" applyBorder="1" applyAlignment="1">
      <alignment horizontal="left"/>
    </xf>
    <xf numFmtId="0" fontId="0" fillId="0" borderId="5" xfId="0" applyFill="1" applyBorder="1"/>
    <xf numFmtId="0" fontId="0" fillId="0" borderId="17" xfId="0" applyBorder="1"/>
    <xf numFmtId="0" fontId="7" fillId="0" borderId="5" xfId="0" applyFont="1" applyBorder="1"/>
    <xf numFmtId="0" fontId="1" fillId="2" borderId="5" xfId="0" applyFont="1" applyFill="1" applyBorder="1" applyAlignment="1">
      <alignment horizontal="center"/>
    </xf>
    <xf numFmtId="0" fontId="0" fillId="5" borderId="5" xfId="0" applyFill="1" applyBorder="1"/>
    <xf numFmtId="0" fontId="7" fillId="5" borderId="5" xfId="0" applyFont="1" applyFill="1" applyBorder="1"/>
    <xf numFmtId="0" fontId="0" fillId="5" borderId="0" xfId="0" applyFill="1"/>
    <xf numFmtId="0" fontId="0" fillId="4" borderId="5" xfId="0" applyFill="1" applyBorder="1"/>
    <xf numFmtId="0" fontId="0" fillId="5" borderId="2" xfId="0" applyFont="1" applyFill="1" applyBorder="1" applyAlignment="1">
      <alignment horizontal="center"/>
    </xf>
    <xf numFmtId="0" fontId="0" fillId="5" borderId="2" xfId="0" applyFont="1" applyFill="1" applyBorder="1" applyAlignment="1"/>
    <xf numFmtId="0" fontId="0" fillId="5" borderId="3" xfId="0" applyFont="1" applyFill="1" applyBorder="1"/>
    <xf numFmtId="0" fontId="0" fillId="5" borderId="11" xfId="0" applyFont="1" applyFill="1" applyBorder="1" applyAlignment="1">
      <alignment horizontal="center"/>
    </xf>
    <xf numFmtId="0" fontId="0" fillId="5" borderId="11" xfId="0" applyFont="1" applyFill="1" applyBorder="1" applyAlignment="1"/>
    <xf numFmtId="0" fontId="0" fillId="5" borderId="12" xfId="0" applyFont="1" applyFill="1" applyBorder="1"/>
    <xf numFmtId="0" fontId="0" fillId="0" borderId="11" xfId="0" applyFont="1" applyBorder="1"/>
    <xf numFmtId="0" fontId="0" fillId="0" borderId="12" xfId="0" applyFont="1" applyBorder="1"/>
    <xf numFmtId="0" fontId="0" fillId="0" borderId="5" xfId="0" applyFont="1" applyBorder="1"/>
    <xf numFmtId="0" fontId="0" fillId="0" borderId="0" xfId="0" applyFont="1"/>
    <xf numFmtId="0" fontId="0" fillId="0" borderId="6" xfId="0" applyFont="1" applyBorder="1"/>
    <xf numFmtId="0" fontId="0" fillId="5" borderId="2" xfId="0" applyFont="1" applyFill="1" applyBorder="1" applyAlignment="1">
      <alignment horizontal="left"/>
    </xf>
    <xf numFmtId="0" fontId="0" fillId="5" borderId="11" xfId="0" applyFont="1" applyFill="1" applyBorder="1" applyAlignment="1">
      <alignment horizontal="left"/>
    </xf>
    <xf numFmtId="0" fontId="0" fillId="0" borderId="27" xfId="0" applyFont="1" applyFill="1" applyBorder="1"/>
    <xf numFmtId="0" fontId="0" fillId="0" borderId="16" xfId="0" applyBorder="1"/>
    <xf numFmtId="0" fontId="0" fillId="0" borderId="28" xfId="0" applyBorder="1"/>
    <xf numFmtId="0" fontId="10" fillId="0" borderId="5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17" xfId="0" applyFont="1" applyFill="1" applyBorder="1" applyAlignment="1">
      <alignment horizontal="center"/>
    </xf>
    <xf numFmtId="0" fontId="0" fillId="4" borderId="4" xfId="0" applyFill="1" applyBorder="1"/>
    <xf numFmtId="0" fontId="7" fillId="4" borderId="5" xfId="0" applyFont="1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7" fillId="4" borderId="8" xfId="0" applyFont="1" applyFill="1" applyBorder="1"/>
    <xf numFmtId="0" fontId="0" fillId="4" borderId="9" xfId="0" applyFill="1" applyBorder="1"/>
    <xf numFmtId="0" fontId="0" fillId="5" borderId="30" xfId="0" applyFont="1" applyFill="1" applyBorder="1" applyAlignment="1">
      <alignment horizontal="right"/>
    </xf>
    <xf numFmtId="0" fontId="0" fillId="5" borderId="31" xfId="0" applyFont="1" applyFill="1" applyBorder="1" applyAlignment="1">
      <alignment horizontal="right"/>
    </xf>
    <xf numFmtId="0" fontId="0" fillId="0" borderId="7" xfId="0" applyBorder="1"/>
    <xf numFmtId="0" fontId="1" fillId="2" borderId="17" xfId="0" applyFont="1" applyFill="1" applyBorder="1" applyAlignment="1"/>
    <xf numFmtId="0" fontId="0" fillId="0" borderId="5" xfId="0" applyBorder="1" applyAlignment="1">
      <alignment horizontal="center"/>
    </xf>
    <xf numFmtId="0" fontId="0" fillId="3" borderId="4" xfId="0" applyFill="1" applyBorder="1"/>
    <xf numFmtId="0" fontId="0" fillId="3" borderId="5" xfId="0" applyFill="1" applyBorder="1" applyAlignment="1">
      <alignment horizontal="center"/>
    </xf>
    <xf numFmtId="0" fontId="7" fillId="3" borderId="5" xfId="0" applyFont="1" applyFill="1" applyBorder="1"/>
    <xf numFmtId="0" fontId="0" fillId="5" borderId="5" xfId="0" applyFill="1" applyBorder="1" applyAlignment="1">
      <alignment horizontal="center"/>
    </xf>
    <xf numFmtId="0" fontId="0" fillId="5" borderId="6" xfId="0" applyFill="1" applyBorder="1"/>
    <xf numFmtId="0" fontId="0" fillId="0" borderId="8" xfId="0" applyFill="1" applyBorder="1"/>
    <xf numFmtId="0" fontId="0" fillId="5" borderId="8" xfId="0" applyFill="1" applyBorder="1"/>
    <xf numFmtId="0" fontId="0" fillId="5" borderId="5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0" borderId="8" xfId="0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5" borderId="32" xfId="0" applyFont="1" applyFill="1" applyBorder="1" applyAlignment="1">
      <alignment horizontal="right"/>
    </xf>
    <xf numFmtId="0" fontId="1" fillId="0" borderId="19" xfId="0" applyFont="1" applyBorder="1"/>
    <xf numFmtId="0" fontId="1" fillId="2" borderId="8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35" xfId="0" applyFont="1" applyBorder="1" applyAlignment="1"/>
    <xf numFmtId="0" fontId="1" fillId="0" borderId="3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tabSelected="1" topLeftCell="A38" zoomScaleNormal="100" workbookViewId="0">
      <selection activeCell="I53" sqref="I53"/>
    </sheetView>
  </sheetViews>
  <sheetFormatPr defaultRowHeight="15" x14ac:dyDescent="0.25"/>
  <cols>
    <col min="1" max="1" width="7.140625" customWidth="1"/>
    <col min="2" max="2" width="21.5703125" customWidth="1"/>
    <col min="5" max="5" width="11.7109375" customWidth="1"/>
    <col min="6" max="6" width="13.85546875" customWidth="1"/>
    <col min="7" max="7" width="11.140625" customWidth="1"/>
    <col min="9" max="9" width="7.42578125" customWidth="1"/>
    <col min="11" max="11" width="7.7109375" customWidth="1"/>
  </cols>
  <sheetData>
    <row r="1" spans="1:12" ht="19.5" thickTop="1" x14ac:dyDescent="0.3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2"/>
    </row>
    <row r="2" spans="1:12" x14ac:dyDescent="0.25">
      <c r="A2" s="123" t="s">
        <v>1</v>
      </c>
      <c r="B2" s="125" t="s">
        <v>55</v>
      </c>
      <c r="C2" s="125" t="s">
        <v>2</v>
      </c>
      <c r="D2" s="125" t="s">
        <v>3</v>
      </c>
      <c r="E2" s="6" t="s">
        <v>12</v>
      </c>
      <c r="F2" s="7" t="s">
        <v>10</v>
      </c>
      <c r="G2" s="8" t="s">
        <v>4</v>
      </c>
      <c r="H2" s="7" t="s">
        <v>6</v>
      </c>
      <c r="I2" s="151" t="s">
        <v>363</v>
      </c>
      <c r="J2" s="152"/>
      <c r="K2" s="153"/>
      <c r="L2" s="9" t="s">
        <v>14</v>
      </c>
    </row>
    <row r="3" spans="1:12" ht="15.75" thickBot="1" x14ac:dyDescent="0.3">
      <c r="A3" s="124"/>
      <c r="B3" s="126"/>
      <c r="C3" s="126"/>
      <c r="D3" s="126"/>
      <c r="E3" s="14" t="s">
        <v>13</v>
      </c>
      <c r="F3" s="15" t="s">
        <v>11</v>
      </c>
      <c r="G3" s="15" t="s">
        <v>5</v>
      </c>
      <c r="H3" s="15" t="s">
        <v>7</v>
      </c>
      <c r="I3" s="119" t="s">
        <v>364</v>
      </c>
      <c r="J3" s="154" t="s">
        <v>365</v>
      </c>
      <c r="K3" s="15" t="s">
        <v>366</v>
      </c>
      <c r="L3" s="13"/>
    </row>
    <row r="4" spans="1:12" ht="15.75" thickTop="1" x14ac:dyDescent="0.25">
      <c r="A4" s="10">
        <v>1</v>
      </c>
      <c r="B4" s="11" t="s">
        <v>56</v>
      </c>
      <c r="C4" s="11" t="s">
        <v>39</v>
      </c>
      <c r="D4" s="11" t="s">
        <v>57</v>
      </c>
      <c r="E4" s="11" t="s">
        <v>58</v>
      </c>
      <c r="F4" s="11" t="s">
        <v>59</v>
      </c>
      <c r="G4" s="11" t="s">
        <v>60</v>
      </c>
      <c r="H4" s="11">
        <v>14</v>
      </c>
      <c r="I4" s="11">
        <v>22</v>
      </c>
      <c r="J4" s="11">
        <v>6</v>
      </c>
      <c r="K4" s="11">
        <v>28</v>
      </c>
      <c r="L4" s="12" t="s">
        <v>106</v>
      </c>
    </row>
    <row r="5" spans="1:12" x14ac:dyDescent="0.25">
      <c r="A5" s="2">
        <v>2</v>
      </c>
      <c r="B5" s="3" t="s">
        <v>61</v>
      </c>
      <c r="C5" s="3" t="s">
        <v>39</v>
      </c>
      <c r="D5" s="3" t="s">
        <v>57</v>
      </c>
      <c r="E5" s="3" t="s">
        <v>58</v>
      </c>
      <c r="F5" s="3" t="s">
        <v>58</v>
      </c>
      <c r="G5" s="3" t="s">
        <v>62</v>
      </c>
      <c r="H5" s="3">
        <v>15</v>
      </c>
      <c r="I5" s="3">
        <v>22</v>
      </c>
      <c r="J5" s="3">
        <v>8</v>
      </c>
      <c r="K5" s="3">
        <v>30</v>
      </c>
      <c r="L5" s="1" t="s">
        <v>107</v>
      </c>
    </row>
    <row r="6" spans="1:12" x14ac:dyDescent="0.25">
      <c r="A6" s="2">
        <v>3</v>
      </c>
      <c r="B6" s="3" t="s">
        <v>63</v>
      </c>
      <c r="C6" s="3" t="s">
        <v>39</v>
      </c>
      <c r="D6" s="3" t="s">
        <v>64</v>
      </c>
      <c r="E6" s="3" t="s">
        <v>58</v>
      </c>
      <c r="F6" s="3" t="s">
        <v>58</v>
      </c>
      <c r="G6" s="3" t="s">
        <v>65</v>
      </c>
      <c r="H6" s="3">
        <v>14</v>
      </c>
      <c r="I6" s="3">
        <v>22</v>
      </c>
      <c r="J6" s="3">
        <v>6</v>
      </c>
      <c r="K6" s="3">
        <v>28</v>
      </c>
      <c r="L6" s="1" t="s">
        <v>108</v>
      </c>
    </row>
    <row r="7" spans="1:12" x14ac:dyDescent="0.25">
      <c r="A7" s="2">
        <v>4</v>
      </c>
      <c r="B7" s="54" t="s">
        <v>66</v>
      </c>
      <c r="C7" s="54" t="s">
        <v>24</v>
      </c>
      <c r="D7" s="54" t="s">
        <v>67</v>
      </c>
      <c r="E7" s="54" t="s">
        <v>28</v>
      </c>
      <c r="F7" s="54" t="s">
        <v>68</v>
      </c>
      <c r="G7" s="54" t="s">
        <v>69</v>
      </c>
      <c r="H7" s="54">
        <v>6</v>
      </c>
      <c r="I7" s="54">
        <v>22</v>
      </c>
      <c r="J7" s="54">
        <v>8</v>
      </c>
      <c r="K7" s="54">
        <v>30</v>
      </c>
      <c r="L7" s="62"/>
    </row>
    <row r="8" spans="1:12" x14ac:dyDescent="0.25">
      <c r="A8" s="2">
        <v>5</v>
      </c>
      <c r="B8" s="54" t="s">
        <v>70</v>
      </c>
      <c r="C8" s="54" t="s">
        <v>24</v>
      </c>
      <c r="D8" s="54" t="s">
        <v>57</v>
      </c>
      <c r="E8" s="54" t="s">
        <v>28</v>
      </c>
      <c r="F8" s="54" t="s">
        <v>68</v>
      </c>
      <c r="G8" s="54" t="s">
        <v>71</v>
      </c>
      <c r="H8" s="54">
        <v>7</v>
      </c>
      <c r="I8" s="54">
        <v>22</v>
      </c>
      <c r="J8" s="54">
        <v>5</v>
      </c>
      <c r="K8" s="54">
        <v>27</v>
      </c>
      <c r="L8" s="62" t="s">
        <v>109</v>
      </c>
    </row>
    <row r="9" spans="1:12" x14ac:dyDescent="0.25">
      <c r="A9" s="2">
        <v>6</v>
      </c>
      <c r="B9" s="54" t="s">
        <v>72</v>
      </c>
      <c r="C9" s="54" t="s">
        <v>24</v>
      </c>
      <c r="D9" s="54" t="s">
        <v>67</v>
      </c>
      <c r="E9" s="54" t="s">
        <v>28</v>
      </c>
      <c r="F9" s="54" t="s">
        <v>68</v>
      </c>
      <c r="G9" s="63">
        <v>6</v>
      </c>
      <c r="H9" s="54">
        <v>5</v>
      </c>
      <c r="I9" s="54">
        <v>22</v>
      </c>
      <c r="J9" s="54">
        <v>3</v>
      </c>
      <c r="K9" s="54">
        <v>25</v>
      </c>
      <c r="L9" s="62"/>
    </row>
    <row r="10" spans="1:12" x14ac:dyDescent="0.25">
      <c r="A10" s="2">
        <v>7</v>
      </c>
      <c r="B10" s="54" t="s">
        <v>73</v>
      </c>
      <c r="C10" s="54" t="s">
        <v>24</v>
      </c>
      <c r="D10" s="54" t="s">
        <v>57</v>
      </c>
      <c r="E10" s="54" t="s">
        <v>28</v>
      </c>
      <c r="F10" s="54" t="s">
        <v>68</v>
      </c>
      <c r="G10" s="54" t="s">
        <v>74</v>
      </c>
      <c r="H10" s="54">
        <v>6</v>
      </c>
      <c r="I10" s="54">
        <v>22</v>
      </c>
      <c r="J10" s="54">
        <v>8</v>
      </c>
      <c r="K10" s="54">
        <v>30</v>
      </c>
      <c r="L10" s="62"/>
    </row>
    <row r="11" spans="1:12" x14ac:dyDescent="0.25">
      <c r="A11" s="2">
        <v>8</v>
      </c>
      <c r="B11" s="54" t="s">
        <v>75</v>
      </c>
      <c r="C11" s="54" t="s">
        <v>24</v>
      </c>
      <c r="D11" s="54" t="s">
        <v>67</v>
      </c>
      <c r="E11" s="54" t="s">
        <v>28</v>
      </c>
      <c r="F11" s="54" t="s">
        <v>68</v>
      </c>
      <c r="G11" s="54" t="s">
        <v>76</v>
      </c>
      <c r="H11" s="54">
        <v>6</v>
      </c>
      <c r="I11" s="54">
        <v>22</v>
      </c>
      <c r="J11" s="54">
        <v>8</v>
      </c>
      <c r="K11" s="54">
        <v>30</v>
      </c>
      <c r="L11" s="62" t="s">
        <v>110</v>
      </c>
    </row>
    <row r="12" spans="1:12" x14ac:dyDescent="0.25">
      <c r="A12" s="2">
        <v>9</v>
      </c>
      <c r="B12" s="54" t="s">
        <v>77</v>
      </c>
      <c r="C12" s="54" t="s">
        <v>39</v>
      </c>
      <c r="D12" s="54" t="s">
        <v>57</v>
      </c>
      <c r="E12" s="54" t="s">
        <v>28</v>
      </c>
      <c r="F12" s="54" t="s">
        <v>68</v>
      </c>
      <c r="G12" s="54" t="s">
        <v>78</v>
      </c>
      <c r="H12" s="54">
        <v>7</v>
      </c>
      <c r="I12" s="54">
        <v>22</v>
      </c>
      <c r="J12" s="54">
        <v>3</v>
      </c>
      <c r="K12" s="54">
        <v>25</v>
      </c>
      <c r="L12" s="62" t="s">
        <v>111</v>
      </c>
    </row>
    <row r="13" spans="1:12" x14ac:dyDescent="0.25">
      <c r="A13" s="2">
        <v>10</v>
      </c>
      <c r="B13" s="54" t="s">
        <v>183</v>
      </c>
      <c r="C13" s="54" t="s">
        <v>24</v>
      </c>
      <c r="D13" s="54" t="s">
        <v>67</v>
      </c>
      <c r="E13" s="54" t="s">
        <v>28</v>
      </c>
      <c r="F13" s="54" t="s">
        <v>68</v>
      </c>
      <c r="G13" s="54" t="s">
        <v>184</v>
      </c>
      <c r="H13" s="54">
        <v>6</v>
      </c>
      <c r="I13" s="54">
        <v>22</v>
      </c>
      <c r="J13" s="54">
        <v>8</v>
      </c>
      <c r="K13" s="54">
        <v>30</v>
      </c>
      <c r="L13" s="62" t="s">
        <v>110</v>
      </c>
    </row>
    <row r="14" spans="1:12" x14ac:dyDescent="0.25">
      <c r="A14" s="2">
        <v>11</v>
      </c>
      <c r="B14" s="3" t="s">
        <v>79</v>
      </c>
      <c r="C14" s="3" t="s">
        <v>39</v>
      </c>
      <c r="D14" s="3" t="s">
        <v>67</v>
      </c>
      <c r="E14" s="3" t="s">
        <v>80</v>
      </c>
      <c r="F14" s="3" t="s">
        <v>81</v>
      </c>
      <c r="G14" s="61">
        <v>6</v>
      </c>
      <c r="H14" s="3">
        <v>5</v>
      </c>
      <c r="I14" s="3">
        <v>22</v>
      </c>
      <c r="J14" s="3">
        <v>8</v>
      </c>
      <c r="K14" s="3">
        <v>30</v>
      </c>
      <c r="L14" s="1"/>
    </row>
    <row r="15" spans="1:12" x14ac:dyDescent="0.25">
      <c r="A15" s="2">
        <v>12</v>
      </c>
      <c r="B15" s="3" t="s">
        <v>82</v>
      </c>
      <c r="C15" s="3" t="s">
        <v>39</v>
      </c>
      <c r="D15" s="3" t="s">
        <v>83</v>
      </c>
      <c r="E15" s="3" t="s">
        <v>80</v>
      </c>
      <c r="F15" s="3" t="s">
        <v>81</v>
      </c>
      <c r="G15" s="61" t="s">
        <v>84</v>
      </c>
      <c r="H15" s="3">
        <v>6</v>
      </c>
      <c r="I15" s="3">
        <v>22</v>
      </c>
      <c r="J15" s="3">
        <v>8</v>
      </c>
      <c r="K15" s="3">
        <v>30</v>
      </c>
      <c r="L15" s="1" t="s">
        <v>110</v>
      </c>
    </row>
    <row r="16" spans="1:12" x14ac:dyDescent="0.25">
      <c r="A16" s="2">
        <v>13</v>
      </c>
      <c r="B16" s="3" t="s">
        <v>85</v>
      </c>
      <c r="C16" s="3" t="s">
        <v>39</v>
      </c>
      <c r="D16" s="3" t="s">
        <v>67</v>
      </c>
      <c r="E16" s="3" t="s">
        <v>80</v>
      </c>
      <c r="F16" s="3" t="s">
        <v>81</v>
      </c>
      <c r="G16" s="61" t="s">
        <v>86</v>
      </c>
      <c r="H16" s="3">
        <v>6</v>
      </c>
      <c r="I16" s="3">
        <v>22</v>
      </c>
      <c r="J16" s="3">
        <v>8</v>
      </c>
      <c r="K16" s="3">
        <v>30</v>
      </c>
      <c r="L16" s="1"/>
    </row>
    <row r="17" spans="1:12" x14ac:dyDescent="0.25">
      <c r="A17" s="2">
        <v>14</v>
      </c>
      <c r="B17" s="3" t="s">
        <v>87</v>
      </c>
      <c r="C17" s="3" t="s">
        <v>24</v>
      </c>
      <c r="D17" s="3" t="s">
        <v>83</v>
      </c>
      <c r="E17" s="3" t="s">
        <v>80</v>
      </c>
      <c r="F17" s="3" t="s">
        <v>81</v>
      </c>
      <c r="G17" s="61" t="s">
        <v>88</v>
      </c>
      <c r="H17" s="3">
        <v>6</v>
      </c>
      <c r="I17" s="3">
        <v>22</v>
      </c>
      <c r="J17" s="3">
        <v>8</v>
      </c>
      <c r="K17" s="3">
        <v>30</v>
      </c>
      <c r="L17" s="1"/>
    </row>
    <row r="18" spans="1:12" x14ac:dyDescent="0.25">
      <c r="A18" s="2">
        <v>15</v>
      </c>
      <c r="B18" s="3" t="s">
        <v>89</v>
      </c>
      <c r="C18" s="3" t="s">
        <v>39</v>
      </c>
      <c r="D18" s="3" t="s">
        <v>90</v>
      </c>
      <c r="E18" s="3" t="s">
        <v>80</v>
      </c>
      <c r="F18" s="3" t="s">
        <v>81</v>
      </c>
      <c r="G18" s="61" t="s">
        <v>74</v>
      </c>
      <c r="H18" s="3">
        <v>6</v>
      </c>
      <c r="I18" s="3">
        <v>22</v>
      </c>
      <c r="J18" s="3">
        <v>8</v>
      </c>
      <c r="K18" s="3">
        <v>30</v>
      </c>
      <c r="L18" s="1"/>
    </row>
    <row r="19" spans="1:12" x14ac:dyDescent="0.25">
      <c r="A19" s="2">
        <v>16</v>
      </c>
      <c r="B19" s="3" t="s">
        <v>91</v>
      </c>
      <c r="C19" s="3" t="s">
        <v>39</v>
      </c>
      <c r="D19" s="3" t="s">
        <v>83</v>
      </c>
      <c r="E19" s="3" t="s">
        <v>80</v>
      </c>
      <c r="F19" s="3" t="s">
        <v>81</v>
      </c>
      <c r="G19" s="61">
        <v>5</v>
      </c>
      <c r="H19" s="3">
        <v>5</v>
      </c>
      <c r="I19" s="3">
        <v>22</v>
      </c>
      <c r="J19" s="3">
        <v>8</v>
      </c>
      <c r="K19" s="3">
        <v>30</v>
      </c>
      <c r="L19" s="1"/>
    </row>
    <row r="20" spans="1:12" x14ac:dyDescent="0.25">
      <c r="A20" s="2">
        <v>17</v>
      </c>
      <c r="B20" s="3" t="s">
        <v>92</v>
      </c>
      <c r="C20" s="3" t="s">
        <v>39</v>
      </c>
      <c r="D20" s="3" t="s">
        <v>90</v>
      </c>
      <c r="E20" s="3" t="s">
        <v>93</v>
      </c>
      <c r="F20" s="3" t="s">
        <v>94</v>
      </c>
      <c r="G20" s="61" t="s">
        <v>95</v>
      </c>
      <c r="H20" s="3">
        <v>8</v>
      </c>
      <c r="I20" s="3">
        <v>22</v>
      </c>
      <c r="J20" s="3">
        <v>9</v>
      </c>
      <c r="K20" s="64">
        <v>31</v>
      </c>
      <c r="L20" s="3" t="s">
        <v>96</v>
      </c>
    </row>
    <row r="21" spans="1:12" x14ac:dyDescent="0.25">
      <c r="A21" s="2">
        <v>18</v>
      </c>
      <c r="B21" s="3" t="s">
        <v>97</v>
      </c>
      <c r="C21" s="3" t="s">
        <v>39</v>
      </c>
      <c r="D21" s="3" t="s">
        <v>67</v>
      </c>
      <c r="E21" s="3" t="s">
        <v>93</v>
      </c>
      <c r="F21" s="3" t="s">
        <v>98</v>
      </c>
      <c r="G21" s="61" t="s">
        <v>99</v>
      </c>
      <c r="H21" s="3">
        <v>6</v>
      </c>
      <c r="I21" s="3">
        <v>22</v>
      </c>
      <c r="J21" s="3">
        <v>10</v>
      </c>
      <c r="K21" s="64">
        <v>32</v>
      </c>
      <c r="L21" s="3" t="s">
        <v>100</v>
      </c>
    </row>
    <row r="22" spans="1:12" x14ac:dyDescent="0.25">
      <c r="A22" s="2">
        <v>19</v>
      </c>
      <c r="B22" s="54" t="s">
        <v>101</v>
      </c>
      <c r="C22" s="54" t="s">
        <v>39</v>
      </c>
      <c r="D22" s="54" t="s">
        <v>83</v>
      </c>
      <c r="E22" s="54" t="s">
        <v>37</v>
      </c>
      <c r="F22" s="54" t="s">
        <v>102</v>
      </c>
      <c r="G22" s="63">
        <v>6</v>
      </c>
      <c r="H22" s="54">
        <v>5</v>
      </c>
      <c r="I22" s="54">
        <v>22</v>
      </c>
      <c r="J22" s="54">
        <v>8</v>
      </c>
      <c r="K22" s="54">
        <v>30</v>
      </c>
      <c r="L22" s="62"/>
    </row>
    <row r="23" spans="1:12" x14ac:dyDescent="0.25">
      <c r="A23" s="2">
        <v>20</v>
      </c>
      <c r="B23" s="54" t="s">
        <v>103</v>
      </c>
      <c r="C23" s="54" t="s">
        <v>39</v>
      </c>
      <c r="D23" s="54" t="s">
        <v>67</v>
      </c>
      <c r="E23" s="54" t="s">
        <v>37</v>
      </c>
      <c r="F23" s="54" t="s">
        <v>102</v>
      </c>
      <c r="G23" s="63" t="s">
        <v>104</v>
      </c>
      <c r="H23" s="54">
        <v>5</v>
      </c>
      <c r="I23" s="54">
        <v>22</v>
      </c>
      <c r="J23" s="54">
        <v>4</v>
      </c>
      <c r="K23" s="54">
        <v>26</v>
      </c>
      <c r="L23" s="62" t="s">
        <v>105</v>
      </c>
    </row>
    <row r="24" spans="1:12" x14ac:dyDescent="0.25">
      <c r="A24" s="2">
        <v>21</v>
      </c>
      <c r="B24" s="54" t="s">
        <v>112</v>
      </c>
      <c r="C24" s="54" t="s">
        <v>39</v>
      </c>
      <c r="D24" s="54" t="s">
        <v>83</v>
      </c>
      <c r="E24" s="54" t="s">
        <v>187</v>
      </c>
      <c r="F24" s="54" t="s">
        <v>102</v>
      </c>
      <c r="G24" s="63">
        <v>4</v>
      </c>
      <c r="H24" s="54">
        <v>5</v>
      </c>
      <c r="I24" s="54">
        <v>22</v>
      </c>
      <c r="J24" s="54">
        <v>8</v>
      </c>
      <c r="K24" s="54">
        <v>30</v>
      </c>
      <c r="L24" s="62"/>
    </row>
    <row r="25" spans="1:12" x14ac:dyDescent="0.25">
      <c r="A25" s="2">
        <v>22</v>
      </c>
      <c r="B25" s="54" t="s">
        <v>113</v>
      </c>
      <c r="C25" s="54" t="s">
        <v>39</v>
      </c>
      <c r="D25" s="54" t="s">
        <v>83</v>
      </c>
      <c r="E25" s="54" t="s">
        <v>37</v>
      </c>
      <c r="F25" s="54" t="s">
        <v>102</v>
      </c>
      <c r="G25" s="63">
        <v>5</v>
      </c>
      <c r="H25" s="54">
        <v>5</v>
      </c>
      <c r="I25" s="54">
        <v>22</v>
      </c>
      <c r="J25" s="54">
        <v>8</v>
      </c>
      <c r="K25" s="54">
        <v>30</v>
      </c>
      <c r="L25" s="62"/>
    </row>
    <row r="26" spans="1:12" x14ac:dyDescent="0.25">
      <c r="A26" s="2">
        <v>23</v>
      </c>
      <c r="B26" s="54" t="s">
        <v>114</v>
      </c>
      <c r="C26" s="54" t="s">
        <v>39</v>
      </c>
      <c r="D26" s="54" t="s">
        <v>67</v>
      </c>
      <c r="E26" s="54" t="s">
        <v>37</v>
      </c>
      <c r="F26" s="54" t="s">
        <v>102</v>
      </c>
      <c r="G26" s="63">
        <v>3</v>
      </c>
      <c r="H26" s="54">
        <v>5</v>
      </c>
      <c r="I26" s="54">
        <v>22</v>
      </c>
      <c r="J26" s="54">
        <v>8</v>
      </c>
      <c r="K26" s="54">
        <v>30</v>
      </c>
      <c r="L26" s="62"/>
    </row>
    <row r="27" spans="1:12" x14ac:dyDescent="0.25">
      <c r="A27" s="2">
        <v>24</v>
      </c>
      <c r="B27" s="54" t="s">
        <v>115</v>
      </c>
      <c r="C27" s="54" t="s">
        <v>39</v>
      </c>
      <c r="D27" s="54" t="s">
        <v>67</v>
      </c>
      <c r="E27" s="54" t="s">
        <v>37</v>
      </c>
      <c r="F27" s="54" t="s">
        <v>102</v>
      </c>
      <c r="G27" s="63" t="s">
        <v>116</v>
      </c>
      <c r="H27" s="54">
        <v>5</v>
      </c>
      <c r="I27" s="54">
        <v>22</v>
      </c>
      <c r="J27" s="54">
        <v>8</v>
      </c>
      <c r="K27" s="54">
        <v>30</v>
      </c>
      <c r="L27" s="62"/>
    </row>
    <row r="28" spans="1:12" x14ac:dyDescent="0.25">
      <c r="A28" s="2">
        <v>25</v>
      </c>
      <c r="B28" s="54" t="s">
        <v>117</v>
      </c>
      <c r="C28" s="54" t="s">
        <v>39</v>
      </c>
      <c r="D28" s="54" t="s">
        <v>118</v>
      </c>
      <c r="E28" s="54" t="s">
        <v>37</v>
      </c>
      <c r="F28" s="54" t="s">
        <v>102</v>
      </c>
      <c r="G28" s="63">
        <v>7</v>
      </c>
      <c r="H28" s="54">
        <v>5</v>
      </c>
      <c r="I28" s="54">
        <v>22</v>
      </c>
      <c r="J28" s="54">
        <v>8</v>
      </c>
      <c r="K28" s="54">
        <v>30</v>
      </c>
      <c r="L28" s="62"/>
    </row>
    <row r="29" spans="1:12" x14ac:dyDescent="0.25">
      <c r="A29" s="2">
        <v>26</v>
      </c>
      <c r="B29" s="54" t="s">
        <v>123</v>
      </c>
      <c r="C29" s="54" t="s">
        <v>39</v>
      </c>
      <c r="D29" s="54" t="s">
        <v>83</v>
      </c>
      <c r="E29" s="54" t="s">
        <v>37</v>
      </c>
      <c r="F29" s="54" t="s">
        <v>102</v>
      </c>
      <c r="G29" s="54" t="s">
        <v>124</v>
      </c>
      <c r="H29" s="54">
        <v>6</v>
      </c>
      <c r="I29" s="54">
        <v>22</v>
      </c>
      <c r="J29" s="54">
        <v>8</v>
      </c>
      <c r="K29" s="54">
        <v>30</v>
      </c>
      <c r="L29" s="62"/>
    </row>
    <row r="30" spans="1:12" x14ac:dyDescent="0.25">
      <c r="A30" s="2">
        <v>27</v>
      </c>
      <c r="B30" s="3" t="s">
        <v>119</v>
      </c>
      <c r="C30" s="3" t="s">
        <v>39</v>
      </c>
      <c r="D30" s="3" t="s">
        <v>67</v>
      </c>
      <c r="E30" s="3" t="s">
        <v>29</v>
      </c>
      <c r="F30" s="3" t="s">
        <v>29</v>
      </c>
      <c r="G30" s="3">
        <v>6</v>
      </c>
      <c r="H30" s="3">
        <v>5</v>
      </c>
      <c r="I30" s="3">
        <v>22</v>
      </c>
      <c r="J30" s="3">
        <v>8</v>
      </c>
      <c r="K30" s="3">
        <v>30</v>
      </c>
      <c r="L30" s="1"/>
    </row>
    <row r="31" spans="1:12" x14ac:dyDescent="0.25">
      <c r="A31" s="2">
        <v>28</v>
      </c>
      <c r="B31" s="3" t="s">
        <v>120</v>
      </c>
      <c r="C31" s="3" t="s">
        <v>39</v>
      </c>
      <c r="D31" s="3" t="s">
        <v>67</v>
      </c>
      <c r="E31" s="3" t="s">
        <v>29</v>
      </c>
      <c r="F31" s="3" t="s">
        <v>121</v>
      </c>
      <c r="G31" s="3">
        <v>2</v>
      </c>
      <c r="H31" s="3">
        <v>7</v>
      </c>
      <c r="I31" s="3">
        <v>21</v>
      </c>
      <c r="J31" s="3">
        <v>0</v>
      </c>
      <c r="K31" s="3">
        <v>21</v>
      </c>
      <c r="L31" s="1"/>
    </row>
    <row r="32" spans="1:12" x14ac:dyDescent="0.25">
      <c r="A32" s="2">
        <v>29</v>
      </c>
      <c r="B32" s="3" t="s">
        <v>122</v>
      </c>
      <c r="C32" s="3" t="s">
        <v>39</v>
      </c>
      <c r="D32" s="3" t="s">
        <v>67</v>
      </c>
      <c r="E32" s="3" t="s">
        <v>29</v>
      </c>
      <c r="F32" s="3" t="s">
        <v>29</v>
      </c>
      <c r="G32" s="3">
        <v>3</v>
      </c>
      <c r="H32" s="3">
        <v>5</v>
      </c>
      <c r="I32" s="3">
        <v>22</v>
      </c>
      <c r="J32" s="3">
        <v>3</v>
      </c>
      <c r="K32" s="3">
        <v>25</v>
      </c>
      <c r="L32" s="1"/>
    </row>
    <row r="33" spans="1:12" x14ac:dyDescent="0.25">
      <c r="A33" s="2">
        <v>30</v>
      </c>
      <c r="B33" s="3" t="s">
        <v>125</v>
      </c>
      <c r="C33" s="3" t="s">
        <v>39</v>
      </c>
      <c r="D33" s="3" t="s">
        <v>57</v>
      </c>
      <c r="E33" s="3" t="s">
        <v>126</v>
      </c>
      <c r="F33" s="3" t="s">
        <v>29</v>
      </c>
      <c r="G33" s="66" t="s">
        <v>130</v>
      </c>
      <c r="H33" s="3">
        <v>9</v>
      </c>
      <c r="I33" s="3">
        <v>22</v>
      </c>
      <c r="J33" s="3">
        <v>8</v>
      </c>
      <c r="K33" s="3">
        <v>30</v>
      </c>
      <c r="L33" s="1" t="s">
        <v>127</v>
      </c>
    </row>
    <row r="34" spans="1:12" x14ac:dyDescent="0.25">
      <c r="A34" s="2">
        <v>31</v>
      </c>
      <c r="B34" s="3" t="s">
        <v>128</v>
      </c>
      <c r="C34" s="3" t="s">
        <v>39</v>
      </c>
      <c r="D34" s="68" t="s">
        <v>57</v>
      </c>
      <c r="E34" s="3" t="s">
        <v>129</v>
      </c>
      <c r="F34" s="3" t="s">
        <v>121</v>
      </c>
      <c r="G34" s="3" t="s">
        <v>131</v>
      </c>
      <c r="H34" s="3">
        <v>12</v>
      </c>
      <c r="I34" s="3">
        <v>22</v>
      </c>
      <c r="J34" s="3">
        <v>11</v>
      </c>
      <c r="K34" s="3">
        <v>33</v>
      </c>
      <c r="L34" s="1"/>
    </row>
    <row r="35" spans="1:12" x14ac:dyDescent="0.25">
      <c r="A35" s="2">
        <v>32</v>
      </c>
      <c r="B35" s="3" t="s">
        <v>132</v>
      </c>
      <c r="C35" s="3" t="s">
        <v>39</v>
      </c>
      <c r="D35" s="3" t="s">
        <v>57</v>
      </c>
      <c r="E35" s="3" t="s">
        <v>29</v>
      </c>
      <c r="F35" s="3" t="s">
        <v>29</v>
      </c>
      <c r="G35" s="3">
        <v>1</v>
      </c>
      <c r="H35" s="3">
        <v>7</v>
      </c>
      <c r="I35" s="3">
        <v>22</v>
      </c>
      <c r="J35" s="3">
        <v>11</v>
      </c>
      <c r="K35" s="3">
        <v>33</v>
      </c>
      <c r="L35" s="1"/>
    </row>
    <row r="36" spans="1:12" x14ac:dyDescent="0.25">
      <c r="A36" s="2">
        <v>33</v>
      </c>
      <c r="B36" s="3" t="s">
        <v>133</v>
      </c>
      <c r="C36" s="3" t="s">
        <v>39</v>
      </c>
      <c r="D36" s="3" t="s">
        <v>57</v>
      </c>
      <c r="E36" s="3" t="s">
        <v>29</v>
      </c>
      <c r="F36" s="3" t="s">
        <v>29</v>
      </c>
      <c r="G36" s="3">
        <v>7</v>
      </c>
      <c r="H36" s="3">
        <v>5</v>
      </c>
      <c r="I36" s="3">
        <v>22</v>
      </c>
      <c r="J36" s="3">
        <v>8</v>
      </c>
      <c r="K36" s="3">
        <v>30</v>
      </c>
      <c r="L36" s="1"/>
    </row>
    <row r="37" spans="1:12" x14ac:dyDescent="0.25">
      <c r="A37" s="2">
        <v>34</v>
      </c>
      <c r="B37" s="3" t="s">
        <v>134</v>
      </c>
      <c r="C37" s="3" t="s">
        <v>39</v>
      </c>
      <c r="D37" s="3" t="s">
        <v>135</v>
      </c>
      <c r="E37" s="3" t="s">
        <v>136</v>
      </c>
      <c r="F37" s="3" t="s">
        <v>29</v>
      </c>
      <c r="G37" s="3">
        <v>2</v>
      </c>
      <c r="H37" s="3">
        <v>7</v>
      </c>
      <c r="I37" s="3">
        <v>22</v>
      </c>
      <c r="J37" s="3">
        <v>11</v>
      </c>
      <c r="K37" s="3">
        <v>33</v>
      </c>
      <c r="L37" s="1"/>
    </row>
    <row r="38" spans="1:12" x14ac:dyDescent="0.25">
      <c r="A38" s="2">
        <v>35</v>
      </c>
      <c r="B38" s="3" t="s">
        <v>137</v>
      </c>
      <c r="C38" s="3" t="s">
        <v>39</v>
      </c>
      <c r="D38" s="3" t="s">
        <v>67</v>
      </c>
      <c r="E38" s="3" t="s">
        <v>29</v>
      </c>
      <c r="F38" s="3" t="s">
        <v>29</v>
      </c>
      <c r="G38" s="3">
        <v>5</v>
      </c>
      <c r="H38" s="3">
        <v>5</v>
      </c>
      <c r="I38" s="3">
        <v>22</v>
      </c>
      <c r="J38" s="3">
        <v>8</v>
      </c>
      <c r="K38" s="3">
        <v>30</v>
      </c>
      <c r="L38" s="1"/>
    </row>
    <row r="39" spans="1:12" x14ac:dyDescent="0.25">
      <c r="A39" s="2">
        <v>36</v>
      </c>
      <c r="B39" s="3" t="s">
        <v>138</v>
      </c>
      <c r="C39" s="3" t="s">
        <v>39</v>
      </c>
      <c r="D39" s="3" t="s">
        <v>57</v>
      </c>
      <c r="E39" s="3" t="s">
        <v>29</v>
      </c>
      <c r="F39" s="3" t="s">
        <v>29</v>
      </c>
      <c r="G39" s="3">
        <v>4</v>
      </c>
      <c r="H39" s="3">
        <v>5</v>
      </c>
      <c r="I39" s="3">
        <v>22</v>
      </c>
      <c r="J39" s="3">
        <v>3</v>
      </c>
      <c r="K39" s="3">
        <v>25</v>
      </c>
      <c r="L39" s="1"/>
    </row>
    <row r="40" spans="1:12" x14ac:dyDescent="0.25">
      <c r="A40" s="2">
        <v>37</v>
      </c>
      <c r="B40" s="54" t="s">
        <v>139</v>
      </c>
      <c r="C40" s="54" t="s">
        <v>39</v>
      </c>
      <c r="D40" s="54" t="s">
        <v>67</v>
      </c>
      <c r="E40" s="54" t="s">
        <v>140</v>
      </c>
      <c r="F40" s="54" t="s">
        <v>181</v>
      </c>
      <c r="G40" s="54" t="s">
        <v>142</v>
      </c>
      <c r="H40" s="54">
        <v>9</v>
      </c>
      <c r="I40" s="54">
        <v>22</v>
      </c>
      <c r="J40" s="54">
        <v>9</v>
      </c>
      <c r="K40" s="54">
        <v>31</v>
      </c>
      <c r="L40" s="62" t="s">
        <v>182</v>
      </c>
    </row>
    <row r="41" spans="1:12" x14ac:dyDescent="0.25">
      <c r="A41" s="2">
        <v>38</v>
      </c>
      <c r="B41" s="54" t="s">
        <v>180</v>
      </c>
      <c r="C41" s="54" t="s">
        <v>39</v>
      </c>
      <c r="D41" s="54" t="s">
        <v>67</v>
      </c>
      <c r="E41" s="54" t="s">
        <v>140</v>
      </c>
      <c r="F41" s="54" t="s">
        <v>141</v>
      </c>
      <c r="G41" s="54" t="s">
        <v>143</v>
      </c>
      <c r="H41" s="54">
        <v>9</v>
      </c>
      <c r="I41" s="54">
        <v>22</v>
      </c>
      <c r="J41" s="54">
        <v>5</v>
      </c>
      <c r="K41" s="54">
        <v>27</v>
      </c>
      <c r="L41" s="62" t="s">
        <v>109</v>
      </c>
    </row>
    <row r="42" spans="1:12" x14ac:dyDescent="0.25">
      <c r="A42" s="2">
        <v>39</v>
      </c>
      <c r="B42" s="54" t="s">
        <v>144</v>
      </c>
      <c r="C42" s="54" t="s">
        <v>39</v>
      </c>
      <c r="D42" s="54" t="s">
        <v>57</v>
      </c>
      <c r="E42" s="54" t="s">
        <v>145</v>
      </c>
      <c r="F42" s="54" t="s">
        <v>141</v>
      </c>
      <c r="G42" s="54" t="s">
        <v>60</v>
      </c>
      <c r="H42" s="54">
        <v>14</v>
      </c>
      <c r="I42" s="54">
        <v>22</v>
      </c>
      <c r="J42" s="54">
        <v>6</v>
      </c>
      <c r="K42" s="54">
        <v>28</v>
      </c>
      <c r="L42" s="62" t="s">
        <v>106</v>
      </c>
    </row>
    <row r="43" spans="1:12" x14ac:dyDescent="0.25">
      <c r="A43" s="2">
        <v>40</v>
      </c>
      <c r="B43" s="54" t="s">
        <v>146</v>
      </c>
      <c r="C43" s="54" t="s">
        <v>39</v>
      </c>
      <c r="D43" s="54" t="s">
        <v>67</v>
      </c>
      <c r="E43" s="54" t="s">
        <v>147</v>
      </c>
      <c r="F43" s="54" t="s">
        <v>141</v>
      </c>
      <c r="G43" s="54" t="s">
        <v>148</v>
      </c>
      <c r="H43" s="54">
        <v>10</v>
      </c>
      <c r="I43" s="54">
        <v>22</v>
      </c>
      <c r="J43" s="54">
        <v>8</v>
      </c>
      <c r="K43" s="54">
        <v>30</v>
      </c>
      <c r="L43" s="62" t="s">
        <v>149</v>
      </c>
    </row>
    <row r="44" spans="1:12" x14ac:dyDescent="0.25">
      <c r="A44" s="2">
        <v>41</v>
      </c>
      <c r="B44" s="54" t="s">
        <v>178</v>
      </c>
      <c r="C44" s="54" t="s">
        <v>39</v>
      </c>
      <c r="D44" s="54" t="s">
        <v>135</v>
      </c>
      <c r="E44" s="69" t="s">
        <v>185</v>
      </c>
      <c r="F44" s="54" t="s">
        <v>179</v>
      </c>
      <c r="G44" s="54" t="s">
        <v>150</v>
      </c>
      <c r="H44" s="54">
        <v>10</v>
      </c>
      <c r="I44" s="54">
        <v>22</v>
      </c>
      <c r="J44" s="54">
        <v>8</v>
      </c>
      <c r="K44" s="54">
        <v>30</v>
      </c>
      <c r="L44" s="62" t="s">
        <v>149</v>
      </c>
    </row>
    <row r="45" spans="1:12" x14ac:dyDescent="0.25">
      <c r="A45" s="2">
        <v>42</v>
      </c>
      <c r="B45" s="3" t="s">
        <v>151</v>
      </c>
      <c r="C45" s="3" t="s">
        <v>24</v>
      </c>
      <c r="D45" s="3" t="s">
        <v>67</v>
      </c>
      <c r="E45" s="3" t="s">
        <v>140</v>
      </c>
      <c r="F45" s="3" t="s">
        <v>153</v>
      </c>
      <c r="G45" s="3" t="s">
        <v>152</v>
      </c>
      <c r="H45" s="3">
        <v>9</v>
      </c>
      <c r="I45" s="3">
        <v>22</v>
      </c>
      <c r="J45" s="3">
        <v>5</v>
      </c>
      <c r="K45" s="3">
        <v>27</v>
      </c>
      <c r="L45" s="1" t="s">
        <v>154</v>
      </c>
    </row>
    <row r="46" spans="1:12" x14ac:dyDescent="0.25">
      <c r="A46" s="2">
        <v>43</v>
      </c>
      <c r="B46" s="3" t="s">
        <v>155</v>
      </c>
      <c r="C46" s="3" t="s">
        <v>39</v>
      </c>
      <c r="D46" s="3" t="s">
        <v>67</v>
      </c>
      <c r="E46" s="70" t="s">
        <v>29</v>
      </c>
      <c r="F46" s="3" t="s">
        <v>161</v>
      </c>
      <c r="G46" s="3" t="s">
        <v>156</v>
      </c>
      <c r="H46" s="3">
        <v>14</v>
      </c>
      <c r="I46" s="3">
        <v>22</v>
      </c>
      <c r="J46" s="3">
        <v>11</v>
      </c>
      <c r="K46" s="3">
        <v>33</v>
      </c>
      <c r="L46" s="1" t="s">
        <v>157</v>
      </c>
    </row>
    <row r="47" spans="1:12" x14ac:dyDescent="0.25">
      <c r="A47" s="2">
        <v>44</v>
      </c>
      <c r="B47" s="3" t="s">
        <v>158</v>
      </c>
      <c r="C47" s="3" t="s">
        <v>39</v>
      </c>
      <c r="D47" s="3" t="s">
        <v>67</v>
      </c>
      <c r="E47" s="68" t="s">
        <v>186</v>
      </c>
      <c r="F47" s="3" t="s">
        <v>153</v>
      </c>
      <c r="G47" s="3" t="s">
        <v>159</v>
      </c>
      <c r="H47" s="3">
        <v>10</v>
      </c>
      <c r="I47" s="3">
        <v>22</v>
      </c>
      <c r="J47" s="3">
        <v>8</v>
      </c>
      <c r="K47" s="3">
        <v>30</v>
      </c>
      <c r="L47" s="1" t="s">
        <v>160</v>
      </c>
    </row>
    <row r="48" spans="1:12" x14ac:dyDescent="0.25">
      <c r="A48" s="2">
        <v>45</v>
      </c>
      <c r="B48" s="3" t="s">
        <v>162</v>
      </c>
      <c r="C48" s="3" t="s">
        <v>39</v>
      </c>
      <c r="D48" s="3" t="s">
        <v>83</v>
      </c>
      <c r="E48" s="3" t="s">
        <v>163</v>
      </c>
      <c r="F48" s="3" t="s">
        <v>153</v>
      </c>
      <c r="G48" s="3" t="s">
        <v>143</v>
      </c>
      <c r="H48" s="3">
        <v>9</v>
      </c>
      <c r="I48" s="3">
        <v>22</v>
      </c>
      <c r="J48" s="3">
        <v>1</v>
      </c>
      <c r="K48" s="68">
        <v>23</v>
      </c>
      <c r="L48" s="1" t="s">
        <v>164</v>
      </c>
    </row>
    <row r="49" spans="1:12" x14ac:dyDescent="0.25">
      <c r="A49" s="2">
        <v>46</v>
      </c>
      <c r="B49" s="3" t="s">
        <v>165</v>
      </c>
      <c r="C49" s="3" t="s">
        <v>39</v>
      </c>
      <c r="D49" s="3" t="s">
        <v>57</v>
      </c>
      <c r="E49" s="3" t="s">
        <v>166</v>
      </c>
      <c r="F49" s="3" t="s">
        <v>153</v>
      </c>
      <c r="G49" s="3" t="s">
        <v>150</v>
      </c>
      <c r="H49" s="3">
        <v>10</v>
      </c>
      <c r="I49" s="3">
        <v>22</v>
      </c>
      <c r="J49" s="3">
        <v>3</v>
      </c>
      <c r="K49" s="3">
        <v>25</v>
      </c>
      <c r="L49" s="1" t="s">
        <v>167</v>
      </c>
    </row>
    <row r="50" spans="1:12" x14ac:dyDescent="0.25">
      <c r="A50" s="2">
        <v>47</v>
      </c>
      <c r="B50" s="54" t="s">
        <v>168</v>
      </c>
      <c r="C50" s="54" t="s">
        <v>39</v>
      </c>
      <c r="D50" s="54" t="s">
        <v>83</v>
      </c>
      <c r="E50" s="54" t="s">
        <v>169</v>
      </c>
      <c r="F50" s="54" t="s">
        <v>34</v>
      </c>
      <c r="G50" s="54" t="s">
        <v>170</v>
      </c>
      <c r="H50" s="54">
        <v>16</v>
      </c>
      <c r="I50" s="54">
        <v>22</v>
      </c>
      <c r="J50" s="54">
        <v>10</v>
      </c>
      <c r="K50" s="54">
        <v>32</v>
      </c>
      <c r="L50" s="62" t="s">
        <v>171</v>
      </c>
    </row>
    <row r="51" spans="1:12" x14ac:dyDescent="0.25">
      <c r="A51" s="2">
        <v>48</v>
      </c>
      <c r="B51" s="3" t="s">
        <v>172</v>
      </c>
      <c r="C51" s="3" t="s">
        <v>39</v>
      </c>
      <c r="D51" s="3" t="s">
        <v>57</v>
      </c>
      <c r="E51" s="3" t="s">
        <v>173</v>
      </c>
      <c r="F51" s="3" t="s">
        <v>173</v>
      </c>
      <c r="G51" s="3" t="s">
        <v>175</v>
      </c>
      <c r="H51" s="3">
        <v>12</v>
      </c>
      <c r="I51" s="3">
        <v>22</v>
      </c>
      <c r="J51" s="3">
        <v>2</v>
      </c>
      <c r="K51" s="3">
        <v>24</v>
      </c>
      <c r="L51" s="1" t="s">
        <v>174</v>
      </c>
    </row>
    <row r="52" spans="1:12" ht="15.75" thickBot="1" x14ac:dyDescent="0.3">
      <c r="A52" s="102">
        <v>49</v>
      </c>
      <c r="B52" s="4" t="s">
        <v>176</v>
      </c>
      <c r="C52" s="4" t="s">
        <v>39</v>
      </c>
      <c r="D52" s="4" t="s">
        <v>135</v>
      </c>
      <c r="E52" s="4" t="s">
        <v>173</v>
      </c>
      <c r="F52" s="4" t="s">
        <v>173</v>
      </c>
      <c r="G52" s="4" t="s">
        <v>177</v>
      </c>
      <c r="H52" s="4">
        <v>12</v>
      </c>
      <c r="I52" s="4">
        <v>22</v>
      </c>
      <c r="J52" s="4">
        <v>2</v>
      </c>
      <c r="K52" s="4">
        <v>24</v>
      </c>
      <c r="L52" s="5" t="s">
        <v>174</v>
      </c>
    </row>
    <row r="53" spans="1:12" ht="15.75" thickTop="1" x14ac:dyDescent="0.25">
      <c r="I53" s="155" t="s">
        <v>367</v>
      </c>
      <c r="J53" s="156">
        <v>339</v>
      </c>
    </row>
    <row r="57" spans="1:12" x14ac:dyDescent="0.25">
      <c r="K57" s="70"/>
    </row>
  </sheetData>
  <mergeCells count="6">
    <mergeCell ref="A1:L1"/>
    <mergeCell ref="A2:A3"/>
    <mergeCell ref="B2:B3"/>
    <mergeCell ref="C2:C3"/>
    <mergeCell ref="D2:D3"/>
    <mergeCell ref="I2:K2"/>
  </mergeCells>
  <pageMargins left="0.7" right="0.7" top="0.75" bottom="0.75" header="0.3" footer="0.3"/>
  <pageSetup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"/>
  <sheetViews>
    <sheetView zoomScaleNormal="100" workbookViewId="0">
      <selection activeCell="I58" sqref="I58"/>
    </sheetView>
  </sheetViews>
  <sheetFormatPr defaultRowHeight="15" x14ac:dyDescent="0.25"/>
  <cols>
    <col min="2" max="2" width="19.7109375" customWidth="1"/>
    <col min="3" max="3" width="8" customWidth="1"/>
    <col min="4" max="4" width="12.5703125" customWidth="1"/>
    <col min="5" max="5" width="19.85546875" customWidth="1"/>
    <col min="6" max="6" width="12.85546875" customWidth="1"/>
    <col min="7" max="7" width="16.7109375" customWidth="1"/>
  </cols>
  <sheetData>
    <row r="1" spans="1:7" ht="21.75" thickTop="1" x14ac:dyDescent="0.35">
      <c r="A1" s="127" t="s">
        <v>16</v>
      </c>
      <c r="B1" s="128"/>
      <c r="C1" s="128"/>
      <c r="D1" s="128"/>
      <c r="E1" s="128"/>
      <c r="F1" s="128"/>
      <c r="G1" s="129"/>
    </row>
    <row r="2" spans="1:7" x14ac:dyDescent="0.25">
      <c r="A2" s="123" t="s">
        <v>1</v>
      </c>
      <c r="B2" s="125" t="s">
        <v>188</v>
      </c>
      <c r="C2" s="125" t="s">
        <v>2</v>
      </c>
      <c r="D2" s="125" t="s">
        <v>3</v>
      </c>
      <c r="E2" s="6" t="s">
        <v>12</v>
      </c>
      <c r="F2" s="7" t="s">
        <v>15</v>
      </c>
      <c r="G2" s="9" t="s">
        <v>14</v>
      </c>
    </row>
    <row r="3" spans="1:7" ht="15.75" thickBot="1" x14ac:dyDescent="0.3">
      <c r="A3" s="124"/>
      <c r="B3" s="126"/>
      <c r="C3" s="126"/>
      <c r="D3" s="126"/>
      <c r="E3" s="14" t="s">
        <v>13</v>
      </c>
      <c r="F3" s="15"/>
      <c r="G3" s="13"/>
    </row>
    <row r="4" spans="1:7" ht="15.75" thickTop="1" x14ac:dyDescent="0.25">
      <c r="A4" s="100">
        <v>1</v>
      </c>
      <c r="B4" s="72" t="s">
        <v>202</v>
      </c>
      <c r="C4" s="83" t="s">
        <v>39</v>
      </c>
      <c r="D4" s="83" t="s">
        <v>57</v>
      </c>
      <c r="E4" s="73" t="s">
        <v>195</v>
      </c>
      <c r="F4" s="72" t="s">
        <v>205</v>
      </c>
      <c r="G4" s="74"/>
    </row>
    <row r="5" spans="1:7" x14ac:dyDescent="0.25">
      <c r="A5" s="101">
        <v>2</v>
      </c>
      <c r="B5" s="75" t="s">
        <v>203</v>
      </c>
      <c r="C5" s="84" t="s">
        <v>39</v>
      </c>
      <c r="D5" s="84" t="s">
        <v>57</v>
      </c>
      <c r="E5" s="76" t="s">
        <v>145</v>
      </c>
      <c r="F5" s="75" t="s">
        <v>204</v>
      </c>
      <c r="G5" s="77"/>
    </row>
    <row r="6" spans="1:7" x14ac:dyDescent="0.25">
      <c r="A6" s="101">
        <v>3</v>
      </c>
      <c r="B6" s="78" t="s">
        <v>189</v>
      </c>
      <c r="C6" s="78" t="s">
        <v>39</v>
      </c>
      <c r="D6" s="78" t="s">
        <v>67</v>
      </c>
      <c r="E6" s="78" t="s">
        <v>190</v>
      </c>
      <c r="F6" s="78" t="s">
        <v>215</v>
      </c>
      <c r="G6" s="79"/>
    </row>
    <row r="7" spans="1:7" x14ac:dyDescent="0.25">
      <c r="A7" s="101">
        <v>4</v>
      </c>
      <c r="B7" s="80" t="s">
        <v>191</v>
      </c>
      <c r="C7" s="80" t="s">
        <v>39</v>
      </c>
      <c r="D7" s="81" t="s">
        <v>57</v>
      </c>
      <c r="E7" s="80" t="s">
        <v>192</v>
      </c>
      <c r="F7" s="80" t="s">
        <v>193</v>
      </c>
      <c r="G7" s="82"/>
    </row>
    <row r="8" spans="1:7" x14ac:dyDescent="0.25">
      <c r="A8" s="101">
        <v>5</v>
      </c>
      <c r="B8" s="80" t="s">
        <v>194</v>
      </c>
      <c r="C8" s="80" t="s">
        <v>24</v>
      </c>
      <c r="D8" s="80" t="s">
        <v>57</v>
      </c>
      <c r="E8" s="66" t="s">
        <v>195</v>
      </c>
      <c r="F8" s="80" t="s">
        <v>196</v>
      </c>
      <c r="G8" s="82"/>
    </row>
    <row r="9" spans="1:7" x14ac:dyDescent="0.25">
      <c r="A9" s="101">
        <v>6</v>
      </c>
      <c r="B9" s="80" t="s">
        <v>197</v>
      </c>
      <c r="C9" s="80" t="s">
        <v>24</v>
      </c>
      <c r="D9" s="80" t="s">
        <v>57</v>
      </c>
      <c r="E9" s="80" t="s">
        <v>198</v>
      </c>
      <c r="F9" s="80" t="s">
        <v>199</v>
      </c>
      <c r="G9" s="82"/>
    </row>
    <row r="10" spans="1:7" x14ac:dyDescent="0.25">
      <c r="A10" s="101">
        <v>7</v>
      </c>
      <c r="B10" s="80" t="s">
        <v>200</v>
      </c>
      <c r="C10" s="80" t="s">
        <v>24</v>
      </c>
      <c r="D10" s="80" t="s">
        <v>57</v>
      </c>
      <c r="E10" s="80" t="s">
        <v>166</v>
      </c>
      <c r="F10" s="80" t="s">
        <v>201</v>
      </c>
      <c r="G10" s="82"/>
    </row>
    <row r="11" spans="1:7" x14ac:dyDescent="0.25">
      <c r="A11" s="101">
        <v>8</v>
      </c>
      <c r="B11" s="80" t="s">
        <v>206</v>
      </c>
      <c r="C11" s="80" t="s">
        <v>24</v>
      </c>
      <c r="D11" s="80" t="s">
        <v>207</v>
      </c>
      <c r="E11" s="80"/>
      <c r="F11" s="80" t="s">
        <v>208</v>
      </c>
      <c r="G11" s="82"/>
    </row>
    <row r="12" spans="1:7" x14ac:dyDescent="0.25">
      <c r="A12" s="101">
        <v>9</v>
      </c>
      <c r="B12" s="80" t="s">
        <v>209</v>
      </c>
      <c r="C12" s="80" t="s">
        <v>210</v>
      </c>
      <c r="D12" s="80" t="s">
        <v>211</v>
      </c>
      <c r="E12" s="80" t="s">
        <v>212</v>
      </c>
      <c r="F12" s="80" t="s">
        <v>213</v>
      </c>
      <c r="G12" s="82"/>
    </row>
    <row r="13" spans="1:7" x14ac:dyDescent="0.25">
      <c r="A13" s="101">
        <v>10</v>
      </c>
      <c r="B13" s="80" t="s">
        <v>214</v>
      </c>
      <c r="C13" s="80" t="s">
        <v>39</v>
      </c>
      <c r="D13" s="80" t="s">
        <v>207</v>
      </c>
      <c r="E13" s="80"/>
      <c r="F13" s="80"/>
      <c r="G13" s="82"/>
    </row>
    <row r="14" spans="1:7" x14ac:dyDescent="0.25">
      <c r="A14" s="101">
        <v>11</v>
      </c>
      <c r="B14" s="80" t="s">
        <v>216</v>
      </c>
      <c r="C14" s="80" t="s">
        <v>24</v>
      </c>
      <c r="D14" s="80" t="s">
        <v>217</v>
      </c>
      <c r="E14" s="80"/>
      <c r="F14" s="80" t="s">
        <v>218</v>
      </c>
      <c r="G14" s="82"/>
    </row>
    <row r="15" spans="1:7" x14ac:dyDescent="0.25">
      <c r="A15" s="101">
        <v>12</v>
      </c>
      <c r="B15" s="85" t="s">
        <v>221</v>
      </c>
      <c r="C15" s="85" t="s">
        <v>24</v>
      </c>
      <c r="D15" s="85" t="s">
        <v>222</v>
      </c>
      <c r="F15" s="85" t="s">
        <v>223</v>
      </c>
      <c r="G15" s="82"/>
    </row>
    <row r="16" spans="1:7" x14ac:dyDescent="0.25">
      <c r="A16" s="101">
        <v>13</v>
      </c>
      <c r="B16" s="80" t="s">
        <v>224</v>
      </c>
      <c r="C16" s="80" t="s">
        <v>39</v>
      </c>
      <c r="D16" s="80" t="s">
        <v>225</v>
      </c>
      <c r="E16" s="80"/>
      <c r="F16" s="80" t="s">
        <v>234</v>
      </c>
      <c r="G16" s="82" t="s">
        <v>235</v>
      </c>
    </row>
    <row r="17" spans="1:7" x14ac:dyDescent="0.25">
      <c r="A17" s="101">
        <v>14</v>
      </c>
      <c r="B17" s="80" t="s">
        <v>226</v>
      </c>
      <c r="C17" s="80" t="s">
        <v>39</v>
      </c>
      <c r="D17" s="80" t="s">
        <v>227</v>
      </c>
      <c r="E17" s="80"/>
      <c r="F17" s="80" t="s">
        <v>223</v>
      </c>
      <c r="G17" s="82"/>
    </row>
    <row r="18" spans="1:7" x14ac:dyDescent="0.25">
      <c r="A18" s="101">
        <v>15</v>
      </c>
      <c r="B18" s="80" t="s">
        <v>228</v>
      </c>
      <c r="C18" s="80" t="s">
        <v>39</v>
      </c>
      <c r="D18" s="80" t="s">
        <v>225</v>
      </c>
      <c r="E18" s="80"/>
      <c r="F18" s="80" t="s">
        <v>223</v>
      </c>
      <c r="G18" s="82"/>
    </row>
    <row r="19" spans="1:7" x14ac:dyDescent="0.25">
      <c r="A19" s="101">
        <v>16</v>
      </c>
      <c r="B19" s="80" t="s">
        <v>229</v>
      </c>
      <c r="C19" s="80" t="s">
        <v>39</v>
      </c>
      <c r="D19" s="80" t="s">
        <v>227</v>
      </c>
      <c r="E19" s="80"/>
      <c r="F19" s="80" t="s">
        <v>223</v>
      </c>
      <c r="G19" s="82"/>
    </row>
    <row r="20" spans="1:7" x14ac:dyDescent="0.25">
      <c r="A20" s="101">
        <v>17</v>
      </c>
      <c r="B20" s="80" t="s">
        <v>230</v>
      </c>
      <c r="C20" s="80" t="s">
        <v>39</v>
      </c>
      <c r="D20" s="80" t="s">
        <v>225</v>
      </c>
      <c r="E20" s="80"/>
      <c r="F20" s="80" t="s">
        <v>223</v>
      </c>
      <c r="G20" s="82"/>
    </row>
    <row r="21" spans="1:7" x14ac:dyDescent="0.25">
      <c r="A21" s="101">
        <v>18</v>
      </c>
      <c r="B21" s="3" t="s">
        <v>231</v>
      </c>
      <c r="C21" s="3" t="s">
        <v>39</v>
      </c>
      <c r="D21" s="3" t="s">
        <v>227</v>
      </c>
      <c r="E21" s="3"/>
      <c r="F21" s="3" t="s">
        <v>223</v>
      </c>
      <c r="G21" s="1"/>
    </row>
    <row r="22" spans="1:7" x14ac:dyDescent="0.25">
      <c r="A22" s="101">
        <v>19</v>
      </c>
      <c r="B22" s="3" t="s">
        <v>232</v>
      </c>
      <c r="C22" s="3" t="s">
        <v>39</v>
      </c>
      <c r="D22" s="3" t="s">
        <v>217</v>
      </c>
      <c r="E22" s="3"/>
      <c r="F22" s="3" t="s">
        <v>223</v>
      </c>
      <c r="G22" s="1"/>
    </row>
    <row r="23" spans="1:7" x14ac:dyDescent="0.25">
      <c r="A23" s="101">
        <v>20</v>
      </c>
      <c r="B23" s="3" t="s">
        <v>233</v>
      </c>
      <c r="C23" s="3" t="s">
        <v>39</v>
      </c>
      <c r="D23" s="3" t="s">
        <v>222</v>
      </c>
      <c r="E23" s="3"/>
      <c r="F23" s="3" t="s">
        <v>223</v>
      </c>
      <c r="G23" s="1"/>
    </row>
    <row r="24" spans="1:7" x14ac:dyDescent="0.25">
      <c r="A24" s="101">
        <v>21</v>
      </c>
      <c r="B24" s="3" t="s">
        <v>236</v>
      </c>
      <c r="C24" s="3" t="s">
        <v>39</v>
      </c>
      <c r="D24" s="3" t="s">
        <v>217</v>
      </c>
      <c r="E24" s="3"/>
      <c r="F24" s="3" t="s">
        <v>223</v>
      </c>
      <c r="G24" s="1"/>
    </row>
    <row r="25" spans="1:7" x14ac:dyDescent="0.25">
      <c r="A25" s="101">
        <v>22</v>
      </c>
      <c r="B25" s="80" t="s">
        <v>237</v>
      </c>
      <c r="C25" s="80" t="s">
        <v>24</v>
      </c>
      <c r="D25" s="80" t="s">
        <v>238</v>
      </c>
      <c r="E25" s="80" t="s">
        <v>239</v>
      </c>
      <c r="F25" s="80" t="s">
        <v>220</v>
      </c>
      <c r="G25" s="1" t="s">
        <v>235</v>
      </c>
    </row>
    <row r="26" spans="1:7" x14ac:dyDescent="0.25">
      <c r="A26" s="101">
        <v>23</v>
      </c>
      <c r="B26" s="3" t="s">
        <v>219</v>
      </c>
      <c r="C26" s="3" t="s">
        <v>24</v>
      </c>
      <c r="D26" s="3" t="s">
        <v>217</v>
      </c>
      <c r="E26" s="3"/>
      <c r="F26" s="3" t="s">
        <v>220</v>
      </c>
      <c r="G26" s="1"/>
    </row>
    <row r="27" spans="1:7" x14ac:dyDescent="0.25">
      <c r="A27" s="101">
        <v>24</v>
      </c>
      <c r="B27" s="3" t="s">
        <v>240</v>
      </c>
      <c r="C27" s="3" t="s">
        <v>24</v>
      </c>
      <c r="D27" s="3" t="s">
        <v>217</v>
      </c>
      <c r="E27" s="3"/>
      <c r="F27" s="3" t="s">
        <v>220</v>
      </c>
      <c r="G27" s="1"/>
    </row>
    <row r="28" spans="1:7" x14ac:dyDescent="0.25">
      <c r="A28" s="101">
        <v>25</v>
      </c>
      <c r="B28" s="3" t="s">
        <v>241</v>
      </c>
      <c r="C28" s="3" t="s">
        <v>24</v>
      </c>
      <c r="D28" s="3" t="s">
        <v>242</v>
      </c>
      <c r="E28" s="3"/>
      <c r="F28" s="3" t="s">
        <v>220</v>
      </c>
      <c r="G28" s="1"/>
    </row>
    <row r="29" spans="1:7" x14ac:dyDescent="0.25">
      <c r="A29" s="101">
        <v>26</v>
      </c>
      <c r="B29" s="3" t="s">
        <v>243</v>
      </c>
      <c r="C29" s="3" t="s">
        <v>24</v>
      </c>
      <c r="D29" s="3" t="s">
        <v>225</v>
      </c>
      <c r="E29" s="3"/>
      <c r="F29" s="3" t="s">
        <v>220</v>
      </c>
      <c r="G29" s="1"/>
    </row>
    <row r="30" spans="1:7" x14ac:dyDescent="0.25">
      <c r="A30" s="101">
        <v>27</v>
      </c>
      <c r="B30" s="3" t="s">
        <v>244</v>
      </c>
      <c r="C30" s="3" t="s">
        <v>24</v>
      </c>
      <c r="D30" s="3" t="s">
        <v>245</v>
      </c>
      <c r="E30" s="3"/>
      <c r="F30" s="3" t="s">
        <v>220</v>
      </c>
      <c r="G30" s="1"/>
    </row>
    <row r="31" spans="1:7" x14ac:dyDescent="0.25">
      <c r="A31" s="101">
        <v>28</v>
      </c>
      <c r="B31" s="3" t="s">
        <v>246</v>
      </c>
      <c r="C31" s="3" t="s">
        <v>24</v>
      </c>
      <c r="D31" s="3" t="s">
        <v>217</v>
      </c>
      <c r="E31" s="3"/>
      <c r="F31" s="3" t="s">
        <v>220</v>
      </c>
      <c r="G31" s="1"/>
    </row>
    <row r="32" spans="1:7" x14ac:dyDescent="0.25">
      <c r="A32" s="101">
        <v>29</v>
      </c>
      <c r="B32" s="3" t="s">
        <v>247</v>
      </c>
      <c r="C32" s="3" t="s">
        <v>24</v>
      </c>
      <c r="D32" s="3" t="s">
        <v>222</v>
      </c>
      <c r="E32" s="3"/>
      <c r="F32" s="3" t="s">
        <v>220</v>
      </c>
      <c r="G32" s="1"/>
    </row>
    <row r="33" spans="1:7" x14ac:dyDescent="0.25">
      <c r="A33" s="101">
        <v>30</v>
      </c>
      <c r="B33" s="3" t="s">
        <v>248</v>
      </c>
      <c r="C33" s="3" t="s">
        <v>24</v>
      </c>
      <c r="D33" s="3" t="s">
        <v>217</v>
      </c>
      <c r="E33" s="3"/>
      <c r="F33" s="3" t="s">
        <v>220</v>
      </c>
      <c r="G33" s="1"/>
    </row>
    <row r="34" spans="1:7" x14ac:dyDescent="0.25">
      <c r="A34" s="101">
        <v>31</v>
      </c>
      <c r="B34" s="3" t="s">
        <v>249</v>
      </c>
      <c r="C34" s="3" t="s">
        <v>24</v>
      </c>
      <c r="D34" s="3" t="s">
        <v>242</v>
      </c>
      <c r="E34" s="3"/>
      <c r="F34" s="3" t="s">
        <v>220</v>
      </c>
      <c r="G34" s="1"/>
    </row>
    <row r="35" spans="1:7" x14ac:dyDescent="0.25">
      <c r="A35" s="101">
        <v>32</v>
      </c>
      <c r="B35" s="3" t="s">
        <v>250</v>
      </c>
      <c r="C35" s="3" t="s">
        <v>24</v>
      </c>
      <c r="D35" s="3" t="s">
        <v>251</v>
      </c>
      <c r="E35" s="3"/>
      <c r="F35" s="3" t="s">
        <v>220</v>
      </c>
      <c r="G35" s="1"/>
    </row>
    <row r="36" spans="1:7" x14ac:dyDescent="0.25">
      <c r="A36" s="101">
        <v>33</v>
      </c>
      <c r="B36" s="3" t="s">
        <v>252</v>
      </c>
      <c r="C36" s="3" t="s">
        <v>24</v>
      </c>
      <c r="D36" s="68" t="s">
        <v>227</v>
      </c>
      <c r="E36" s="3"/>
      <c r="F36" s="3" t="s">
        <v>220</v>
      </c>
      <c r="G36" s="1"/>
    </row>
    <row r="37" spans="1:7" x14ac:dyDescent="0.25">
      <c r="A37" s="101">
        <v>34</v>
      </c>
      <c r="B37" s="3" t="s">
        <v>253</v>
      </c>
      <c r="C37" s="3" t="s">
        <v>24</v>
      </c>
      <c r="D37" s="3" t="s">
        <v>207</v>
      </c>
      <c r="E37" s="3"/>
      <c r="F37" s="3" t="s">
        <v>220</v>
      </c>
      <c r="G37" s="1"/>
    </row>
    <row r="38" spans="1:7" x14ac:dyDescent="0.25">
      <c r="A38" s="101">
        <v>35</v>
      </c>
      <c r="B38" s="3" t="s">
        <v>254</v>
      </c>
      <c r="C38" s="3" t="s">
        <v>24</v>
      </c>
      <c r="D38" s="3" t="s">
        <v>211</v>
      </c>
      <c r="E38" s="68" t="s">
        <v>212</v>
      </c>
      <c r="F38" s="3" t="s">
        <v>255</v>
      </c>
      <c r="G38" s="1"/>
    </row>
    <row r="39" spans="1:7" x14ac:dyDescent="0.25">
      <c r="A39" s="101">
        <v>36</v>
      </c>
      <c r="B39" s="3" t="s">
        <v>256</v>
      </c>
      <c r="C39" s="3" t="s">
        <v>24</v>
      </c>
      <c r="D39" s="3" t="s">
        <v>57</v>
      </c>
      <c r="E39" s="3" t="s">
        <v>257</v>
      </c>
      <c r="F39" s="3" t="s">
        <v>255</v>
      </c>
      <c r="G39" s="1"/>
    </row>
    <row r="40" spans="1:7" x14ac:dyDescent="0.25">
      <c r="A40" s="101">
        <v>37</v>
      </c>
      <c r="B40" s="3" t="s">
        <v>258</v>
      </c>
      <c r="C40" s="3" t="s">
        <v>24</v>
      </c>
      <c r="D40" s="3" t="s">
        <v>245</v>
      </c>
      <c r="E40" s="3"/>
      <c r="F40" s="3" t="s">
        <v>255</v>
      </c>
      <c r="G40" s="1"/>
    </row>
    <row r="41" spans="1:7" x14ac:dyDescent="0.25">
      <c r="A41" s="101">
        <v>38</v>
      </c>
      <c r="B41" s="3" t="s">
        <v>259</v>
      </c>
      <c r="C41" s="3" t="s">
        <v>24</v>
      </c>
      <c r="D41" s="3" t="s">
        <v>211</v>
      </c>
      <c r="E41" s="3" t="s">
        <v>212</v>
      </c>
      <c r="F41" s="3" t="s">
        <v>255</v>
      </c>
      <c r="G41" s="1"/>
    </row>
    <row r="42" spans="1:7" x14ac:dyDescent="0.25">
      <c r="A42" s="101">
        <v>39</v>
      </c>
      <c r="B42" s="3" t="s">
        <v>260</v>
      </c>
      <c r="C42" s="3" t="s">
        <v>210</v>
      </c>
      <c r="D42" s="3" t="s">
        <v>211</v>
      </c>
      <c r="E42" s="68" t="s">
        <v>264</v>
      </c>
      <c r="F42" s="3" t="s">
        <v>255</v>
      </c>
      <c r="G42" s="1"/>
    </row>
    <row r="43" spans="1:7" x14ac:dyDescent="0.25">
      <c r="A43" s="101">
        <v>40</v>
      </c>
      <c r="B43" s="3" t="s">
        <v>261</v>
      </c>
      <c r="C43" s="3" t="s">
        <v>24</v>
      </c>
      <c r="D43" s="3" t="s">
        <v>211</v>
      </c>
      <c r="E43" s="3" t="s">
        <v>192</v>
      </c>
      <c r="F43" s="3" t="s">
        <v>255</v>
      </c>
      <c r="G43" s="1"/>
    </row>
    <row r="44" spans="1:7" x14ac:dyDescent="0.25">
      <c r="A44" s="101">
        <v>41</v>
      </c>
      <c r="B44" s="3" t="s">
        <v>262</v>
      </c>
      <c r="C44" s="3" t="s">
        <v>24</v>
      </c>
      <c r="D44" s="3" t="s">
        <v>57</v>
      </c>
      <c r="E44" s="69" t="s">
        <v>265</v>
      </c>
      <c r="F44" s="3" t="s">
        <v>255</v>
      </c>
      <c r="G44" s="1"/>
    </row>
    <row r="45" spans="1:7" x14ac:dyDescent="0.25">
      <c r="A45" s="101">
        <v>42</v>
      </c>
      <c r="B45" s="3" t="s">
        <v>263</v>
      </c>
      <c r="C45" s="3" t="s">
        <v>24</v>
      </c>
      <c r="D45" s="3" t="s">
        <v>225</v>
      </c>
      <c r="E45" s="3"/>
      <c r="F45" s="3" t="s">
        <v>255</v>
      </c>
      <c r="G45" s="1"/>
    </row>
    <row r="46" spans="1:7" x14ac:dyDescent="0.25">
      <c r="A46" s="101">
        <v>43</v>
      </c>
      <c r="B46" s="3" t="s">
        <v>266</v>
      </c>
      <c r="C46" s="3" t="s">
        <v>24</v>
      </c>
      <c r="D46" s="3" t="s">
        <v>267</v>
      </c>
      <c r="E46" s="3" t="s">
        <v>268</v>
      </c>
      <c r="F46" s="3" t="s">
        <v>213</v>
      </c>
      <c r="G46" s="1" t="s">
        <v>269</v>
      </c>
    </row>
    <row r="47" spans="1:7" x14ac:dyDescent="0.25">
      <c r="A47" s="101">
        <v>44</v>
      </c>
      <c r="B47" s="3" t="s">
        <v>270</v>
      </c>
      <c r="C47" s="3" t="s">
        <v>24</v>
      </c>
      <c r="D47" s="3" t="s">
        <v>207</v>
      </c>
      <c r="E47" s="3"/>
      <c r="F47" s="3" t="s">
        <v>220</v>
      </c>
      <c r="G47" s="1"/>
    </row>
    <row r="48" spans="1:7" x14ac:dyDescent="0.25">
      <c r="A48" s="101">
        <v>45</v>
      </c>
      <c r="B48" s="3" t="s">
        <v>271</v>
      </c>
      <c r="C48" s="3" t="s">
        <v>24</v>
      </c>
      <c r="D48" s="3" t="s">
        <v>227</v>
      </c>
      <c r="E48" s="3"/>
      <c r="F48" s="3" t="s">
        <v>220</v>
      </c>
      <c r="G48" s="1"/>
    </row>
    <row r="49" spans="1:7" x14ac:dyDescent="0.25">
      <c r="A49" s="101">
        <v>46</v>
      </c>
      <c r="B49" s="3" t="s">
        <v>272</v>
      </c>
      <c r="C49" s="3" t="s">
        <v>24</v>
      </c>
      <c r="D49" s="3" t="s">
        <v>207</v>
      </c>
      <c r="E49" s="3"/>
      <c r="F49" s="3" t="s">
        <v>220</v>
      </c>
      <c r="G49" s="1"/>
    </row>
    <row r="50" spans="1:7" x14ac:dyDescent="0.25">
      <c r="A50" s="101">
        <v>47</v>
      </c>
      <c r="B50" s="3" t="s">
        <v>273</v>
      </c>
      <c r="C50" s="3" t="s">
        <v>24</v>
      </c>
      <c r="D50" s="3" t="s">
        <v>227</v>
      </c>
      <c r="E50" s="3"/>
      <c r="F50" s="3" t="s">
        <v>220</v>
      </c>
      <c r="G50" s="1"/>
    </row>
    <row r="51" spans="1:7" x14ac:dyDescent="0.25">
      <c r="A51" s="101">
        <v>48</v>
      </c>
      <c r="B51" s="3" t="s">
        <v>274</v>
      </c>
      <c r="C51" s="3" t="s">
        <v>24</v>
      </c>
      <c r="D51" s="3" t="s">
        <v>245</v>
      </c>
      <c r="E51" s="3"/>
      <c r="F51" s="3" t="s">
        <v>220</v>
      </c>
      <c r="G51" s="1"/>
    </row>
    <row r="52" spans="1:7" x14ac:dyDescent="0.25">
      <c r="A52" s="101">
        <v>49</v>
      </c>
      <c r="B52" s="3" t="s">
        <v>275</v>
      </c>
      <c r="C52" s="3" t="s">
        <v>24</v>
      </c>
      <c r="D52" s="3" t="s">
        <v>276</v>
      </c>
      <c r="E52" s="88" t="s">
        <v>277</v>
      </c>
      <c r="F52" s="3" t="s">
        <v>220</v>
      </c>
      <c r="G52" s="1"/>
    </row>
    <row r="53" spans="1:7" x14ac:dyDescent="0.25">
      <c r="A53" s="101">
        <v>50</v>
      </c>
      <c r="B53" s="3" t="s">
        <v>278</v>
      </c>
      <c r="C53" s="3" t="s">
        <v>24</v>
      </c>
      <c r="D53" s="3" t="s">
        <v>222</v>
      </c>
      <c r="E53" s="3"/>
      <c r="F53" s="3" t="s">
        <v>220</v>
      </c>
      <c r="G53" s="1"/>
    </row>
    <row r="54" spans="1:7" x14ac:dyDescent="0.25">
      <c r="A54" s="101">
        <v>51</v>
      </c>
      <c r="B54" s="3" t="s">
        <v>279</v>
      </c>
      <c r="C54" s="3" t="s">
        <v>24</v>
      </c>
      <c r="D54" s="3" t="s">
        <v>251</v>
      </c>
      <c r="E54" s="3"/>
      <c r="F54" s="3" t="s">
        <v>220</v>
      </c>
      <c r="G54" s="1"/>
    </row>
    <row r="55" spans="1:7" x14ac:dyDescent="0.25">
      <c r="A55" s="101">
        <v>52</v>
      </c>
      <c r="B55" s="3" t="s">
        <v>280</v>
      </c>
      <c r="C55" s="3" t="s">
        <v>24</v>
      </c>
      <c r="D55" s="3" t="s">
        <v>251</v>
      </c>
      <c r="E55" s="3"/>
      <c r="F55" s="3" t="s">
        <v>220</v>
      </c>
      <c r="G55" s="1"/>
    </row>
    <row r="56" spans="1:7" ht="15.75" thickBot="1" x14ac:dyDescent="0.3">
      <c r="A56" s="117">
        <v>53</v>
      </c>
      <c r="B56" s="4" t="s">
        <v>281</v>
      </c>
      <c r="C56" s="4" t="s">
        <v>24</v>
      </c>
      <c r="D56" s="4" t="s">
        <v>245</v>
      </c>
      <c r="E56" s="4"/>
      <c r="F56" s="4" t="s">
        <v>220</v>
      </c>
      <c r="G56" s="5"/>
    </row>
    <row r="57" spans="1:7" ht="15.75" thickTop="1" x14ac:dyDescent="0.25">
      <c r="A57" s="10"/>
      <c r="B57" s="11"/>
      <c r="C57" s="11"/>
      <c r="D57" s="11"/>
      <c r="E57" s="11"/>
      <c r="F57" s="11"/>
      <c r="G57" s="12"/>
    </row>
    <row r="58" spans="1:7" x14ac:dyDescent="0.25">
      <c r="A58" s="2"/>
      <c r="B58" s="3"/>
      <c r="C58" s="3"/>
      <c r="D58" s="3"/>
      <c r="E58" s="3"/>
      <c r="F58" s="3"/>
      <c r="G58" s="1"/>
    </row>
    <row r="59" spans="1:7" x14ac:dyDescent="0.25">
      <c r="A59" s="2"/>
      <c r="B59" s="3"/>
      <c r="C59" s="3"/>
      <c r="D59" s="3"/>
      <c r="E59" s="3"/>
      <c r="F59" s="3"/>
      <c r="G59" s="1"/>
    </row>
    <row r="60" spans="1:7" x14ac:dyDescent="0.25">
      <c r="A60" s="2"/>
      <c r="B60" s="3"/>
      <c r="C60" s="3"/>
      <c r="D60" s="3"/>
      <c r="E60" s="3"/>
      <c r="F60" s="3"/>
      <c r="G60" s="1"/>
    </row>
    <row r="61" spans="1:7" x14ac:dyDescent="0.25">
      <c r="A61" s="2"/>
      <c r="B61" s="3"/>
      <c r="C61" s="3"/>
      <c r="D61" s="3"/>
      <c r="E61" s="3"/>
      <c r="F61" s="3"/>
      <c r="G61" s="1"/>
    </row>
    <row r="62" spans="1:7" x14ac:dyDescent="0.25">
      <c r="A62" s="2"/>
      <c r="B62" s="3"/>
      <c r="C62" s="3"/>
      <c r="D62" s="3"/>
      <c r="E62" s="3"/>
      <c r="F62" s="3"/>
      <c r="G62" s="1"/>
    </row>
    <row r="63" spans="1:7" x14ac:dyDescent="0.25">
      <c r="A63" s="2"/>
      <c r="B63" s="3"/>
      <c r="C63" s="3"/>
      <c r="D63" s="3"/>
      <c r="E63" s="3"/>
      <c r="F63" s="3"/>
      <c r="G63" s="1"/>
    </row>
    <row r="64" spans="1:7" x14ac:dyDescent="0.25">
      <c r="A64" s="2"/>
      <c r="B64" s="3"/>
      <c r="C64" s="3"/>
      <c r="D64" s="3"/>
      <c r="E64" s="3"/>
      <c r="F64" s="3"/>
      <c r="G64" s="1"/>
    </row>
    <row r="65" spans="1:7" x14ac:dyDescent="0.25">
      <c r="A65" s="2"/>
      <c r="B65" s="3"/>
      <c r="C65" s="3"/>
      <c r="D65" s="3"/>
      <c r="E65" s="3"/>
      <c r="F65" s="3"/>
      <c r="G65" s="1"/>
    </row>
    <row r="66" spans="1:7" x14ac:dyDescent="0.25">
      <c r="A66" s="2"/>
      <c r="B66" s="3"/>
      <c r="C66" s="3"/>
      <c r="D66" s="3"/>
      <c r="E66" s="3"/>
      <c r="F66" s="3"/>
      <c r="G66" s="1"/>
    </row>
    <row r="67" spans="1:7" x14ac:dyDescent="0.25">
      <c r="A67" s="2"/>
      <c r="B67" s="3"/>
      <c r="C67" s="3"/>
      <c r="D67" s="3"/>
      <c r="E67" s="3"/>
      <c r="F67" s="3"/>
      <c r="G67" s="1"/>
    </row>
    <row r="68" spans="1:7" x14ac:dyDescent="0.25">
      <c r="A68" s="2"/>
      <c r="B68" s="3"/>
      <c r="C68" s="3"/>
      <c r="D68" s="3"/>
      <c r="E68" s="3"/>
      <c r="F68" s="3"/>
      <c r="G68" s="1"/>
    </row>
    <row r="69" spans="1:7" x14ac:dyDescent="0.25">
      <c r="A69" s="2"/>
      <c r="B69" s="3"/>
      <c r="C69" s="3"/>
      <c r="D69" s="3"/>
      <c r="E69" s="3"/>
      <c r="F69" s="3"/>
      <c r="G69" s="1"/>
    </row>
    <row r="70" spans="1:7" x14ac:dyDescent="0.25">
      <c r="A70" s="2"/>
      <c r="B70" s="3"/>
      <c r="C70" s="3"/>
      <c r="D70" s="3"/>
      <c r="E70" s="3"/>
      <c r="F70" s="3"/>
      <c r="G70" s="1"/>
    </row>
    <row r="71" spans="1:7" x14ac:dyDescent="0.25">
      <c r="A71" s="2"/>
      <c r="B71" s="3"/>
      <c r="C71" s="3"/>
      <c r="D71" s="3"/>
      <c r="E71" s="3"/>
      <c r="F71" s="3"/>
      <c r="G71" s="1"/>
    </row>
    <row r="72" spans="1:7" x14ac:dyDescent="0.25">
      <c r="A72" s="2"/>
      <c r="B72" s="3"/>
      <c r="C72" s="3"/>
      <c r="D72" s="3"/>
      <c r="E72" s="3"/>
      <c r="F72" s="3"/>
      <c r="G72" s="1"/>
    </row>
    <row r="73" spans="1:7" x14ac:dyDescent="0.25">
      <c r="A73" s="2"/>
      <c r="B73" s="3"/>
      <c r="C73" s="3"/>
      <c r="D73" s="3"/>
      <c r="E73" s="3"/>
      <c r="F73" s="3"/>
      <c r="G73" s="1"/>
    </row>
    <row r="74" spans="1:7" x14ac:dyDescent="0.25">
      <c r="A74" s="2"/>
      <c r="B74" s="3"/>
      <c r="C74" s="3"/>
      <c r="D74" s="3"/>
      <c r="E74" s="3"/>
      <c r="F74" s="3"/>
      <c r="G74" s="1"/>
    </row>
    <row r="75" spans="1:7" x14ac:dyDescent="0.25">
      <c r="A75" s="2"/>
      <c r="B75" s="3"/>
      <c r="C75" s="3"/>
      <c r="D75" s="3"/>
      <c r="E75" s="3"/>
      <c r="F75" s="3"/>
      <c r="G75" s="1"/>
    </row>
    <row r="76" spans="1:7" x14ac:dyDescent="0.25">
      <c r="A76" s="2"/>
      <c r="B76" s="3"/>
      <c r="C76" s="3"/>
      <c r="D76" s="3"/>
      <c r="E76" s="3"/>
      <c r="F76" s="3"/>
      <c r="G76" s="1"/>
    </row>
    <row r="77" spans="1:7" x14ac:dyDescent="0.25">
      <c r="A77" s="2"/>
      <c r="B77" s="3"/>
      <c r="C77" s="3"/>
      <c r="D77" s="3"/>
      <c r="E77" s="3"/>
      <c r="F77" s="3"/>
      <c r="G77" s="1"/>
    </row>
    <row r="78" spans="1:7" x14ac:dyDescent="0.25">
      <c r="A78" s="2"/>
      <c r="B78" s="3"/>
      <c r="C78" s="3"/>
      <c r="D78" s="3"/>
      <c r="E78" s="3"/>
      <c r="F78" s="3"/>
      <c r="G78" s="1"/>
    </row>
    <row r="79" spans="1:7" x14ac:dyDescent="0.25">
      <c r="A79" s="2"/>
      <c r="B79" s="3"/>
      <c r="C79" s="3"/>
      <c r="D79" s="3"/>
      <c r="E79" s="3"/>
      <c r="F79" s="3"/>
      <c r="G79" s="1"/>
    </row>
    <row r="80" spans="1:7" x14ac:dyDescent="0.25">
      <c r="A80" s="2"/>
      <c r="B80" s="3"/>
      <c r="C80" s="3"/>
      <c r="D80" s="3"/>
      <c r="E80" s="3"/>
      <c r="F80" s="3"/>
      <c r="G80" s="1"/>
    </row>
    <row r="81" spans="1:7" x14ac:dyDescent="0.25">
      <c r="A81" s="2"/>
      <c r="B81" s="3"/>
      <c r="C81" s="3"/>
      <c r="D81" s="3"/>
      <c r="E81" s="3"/>
      <c r="F81" s="3"/>
      <c r="G81" s="1"/>
    </row>
    <row r="82" spans="1:7" x14ac:dyDescent="0.25">
      <c r="A82" s="2"/>
      <c r="B82" s="3"/>
      <c r="C82" s="3"/>
      <c r="D82" s="3"/>
      <c r="E82" s="3"/>
      <c r="F82" s="3"/>
      <c r="G82" s="1"/>
    </row>
    <row r="83" spans="1:7" x14ac:dyDescent="0.25">
      <c r="A83" s="2"/>
      <c r="B83" s="3"/>
      <c r="C83" s="3"/>
      <c r="D83" s="3"/>
      <c r="E83" s="3"/>
      <c r="F83" s="3"/>
      <c r="G83" s="1"/>
    </row>
    <row r="84" spans="1:7" x14ac:dyDescent="0.25">
      <c r="A84" s="2"/>
      <c r="B84" s="3"/>
      <c r="C84" s="3"/>
      <c r="D84" s="3"/>
      <c r="E84" s="3"/>
      <c r="F84" s="3"/>
      <c r="G84" s="1"/>
    </row>
    <row r="85" spans="1:7" x14ac:dyDescent="0.25">
      <c r="A85" s="2"/>
      <c r="B85" s="3"/>
      <c r="C85" s="3"/>
      <c r="D85" s="3"/>
      <c r="E85" s="3"/>
      <c r="F85" s="3"/>
      <c r="G85" s="1"/>
    </row>
    <row r="86" spans="1:7" x14ac:dyDescent="0.25">
      <c r="A86" s="2"/>
      <c r="B86" s="3"/>
      <c r="C86" s="3"/>
      <c r="D86" s="3"/>
      <c r="E86" s="3"/>
      <c r="F86" s="3"/>
      <c r="G86" s="1"/>
    </row>
    <row r="87" spans="1:7" x14ac:dyDescent="0.25">
      <c r="A87" s="2"/>
      <c r="B87" s="3"/>
      <c r="C87" s="3"/>
      <c r="D87" s="3"/>
      <c r="E87" s="3"/>
      <c r="F87" s="3"/>
      <c r="G87" s="1"/>
    </row>
    <row r="88" spans="1:7" x14ac:dyDescent="0.25">
      <c r="A88" s="2"/>
      <c r="B88" s="3"/>
      <c r="C88" s="3"/>
      <c r="D88" s="3"/>
      <c r="E88" s="3"/>
      <c r="F88" s="3"/>
      <c r="G88" s="1"/>
    </row>
    <row r="89" spans="1:7" x14ac:dyDescent="0.25">
      <c r="A89" s="2"/>
      <c r="B89" s="3"/>
      <c r="C89" s="3"/>
      <c r="D89" s="3"/>
      <c r="E89" s="3"/>
      <c r="F89" s="3"/>
      <c r="G89" s="1"/>
    </row>
    <row r="90" spans="1:7" x14ac:dyDescent="0.25">
      <c r="A90" s="2"/>
      <c r="B90" s="3"/>
      <c r="C90" s="3"/>
      <c r="D90" s="3"/>
      <c r="E90" s="3"/>
      <c r="F90" s="3"/>
      <c r="G90" s="1"/>
    </row>
    <row r="91" spans="1:7" x14ac:dyDescent="0.25">
      <c r="A91" s="2"/>
      <c r="B91" s="3"/>
      <c r="C91" s="3"/>
      <c r="D91" s="3"/>
      <c r="E91" s="3"/>
      <c r="F91" s="3"/>
      <c r="G91" s="1"/>
    </row>
    <row r="92" spans="1:7" x14ac:dyDescent="0.25">
      <c r="A92" s="2"/>
      <c r="B92" s="3"/>
      <c r="C92" s="3"/>
      <c r="D92" s="3"/>
      <c r="E92" s="3"/>
      <c r="F92" s="3"/>
      <c r="G92" s="1"/>
    </row>
    <row r="93" spans="1:7" x14ac:dyDescent="0.25">
      <c r="A93" s="2"/>
      <c r="B93" s="3"/>
      <c r="C93" s="3"/>
      <c r="D93" s="3"/>
      <c r="E93" s="3"/>
      <c r="F93" s="3"/>
      <c r="G93" s="1"/>
    </row>
    <row r="94" spans="1:7" x14ac:dyDescent="0.25">
      <c r="A94" s="2"/>
      <c r="B94" s="3"/>
      <c r="C94" s="3"/>
      <c r="D94" s="3"/>
      <c r="E94" s="3"/>
      <c r="F94" s="3"/>
      <c r="G94" s="1"/>
    </row>
    <row r="95" spans="1:7" x14ac:dyDescent="0.25">
      <c r="A95" s="2"/>
      <c r="B95" s="3"/>
      <c r="C95" s="3"/>
      <c r="D95" s="3"/>
      <c r="E95" s="3"/>
      <c r="F95" s="3"/>
      <c r="G95" s="1"/>
    </row>
    <row r="96" spans="1:7" x14ac:dyDescent="0.25">
      <c r="A96" s="2"/>
      <c r="B96" s="3"/>
      <c r="C96" s="3"/>
      <c r="D96" s="3"/>
      <c r="E96" s="3"/>
      <c r="F96" s="3"/>
      <c r="G96" s="1"/>
    </row>
    <row r="97" spans="1:7" x14ac:dyDescent="0.25">
      <c r="A97" s="2"/>
      <c r="B97" s="3"/>
      <c r="C97" s="3"/>
      <c r="D97" s="3"/>
      <c r="E97" s="3"/>
      <c r="F97" s="3"/>
      <c r="G97" s="1"/>
    </row>
    <row r="98" spans="1:7" x14ac:dyDescent="0.25">
      <c r="A98" s="2"/>
      <c r="B98" s="3"/>
      <c r="C98" s="3"/>
      <c r="D98" s="3"/>
      <c r="E98" s="3"/>
      <c r="F98" s="3"/>
      <c r="G98" s="1"/>
    </row>
    <row r="99" spans="1:7" x14ac:dyDescent="0.25">
      <c r="A99" s="2"/>
      <c r="B99" s="3"/>
      <c r="C99" s="3"/>
      <c r="D99" s="3"/>
      <c r="E99" s="3"/>
      <c r="F99" s="3"/>
      <c r="G99" s="1"/>
    </row>
    <row r="100" spans="1:7" x14ac:dyDescent="0.25">
      <c r="A100" s="2"/>
      <c r="B100" s="3"/>
      <c r="C100" s="3"/>
      <c r="D100" s="3"/>
      <c r="E100" s="3"/>
      <c r="F100" s="3"/>
      <c r="G100" s="1"/>
    </row>
    <row r="101" spans="1:7" x14ac:dyDescent="0.25">
      <c r="A101" s="2"/>
      <c r="B101" s="3"/>
      <c r="C101" s="3"/>
      <c r="D101" s="3"/>
      <c r="E101" s="3"/>
      <c r="F101" s="3"/>
      <c r="G101" s="1"/>
    </row>
    <row r="102" spans="1:7" x14ac:dyDescent="0.25">
      <c r="A102" s="2"/>
      <c r="B102" s="3"/>
      <c r="C102" s="3"/>
      <c r="D102" s="3"/>
      <c r="E102" s="3"/>
      <c r="F102" s="3"/>
      <c r="G102" s="1"/>
    </row>
    <row r="103" spans="1:7" x14ac:dyDescent="0.25">
      <c r="A103" s="2"/>
      <c r="B103" s="3"/>
      <c r="C103" s="3"/>
      <c r="D103" s="3"/>
      <c r="E103" s="3"/>
      <c r="F103" s="3"/>
      <c r="G103" s="1"/>
    </row>
    <row r="104" spans="1:7" x14ac:dyDescent="0.25">
      <c r="A104" s="2"/>
      <c r="B104" s="3"/>
      <c r="C104" s="3"/>
      <c r="D104" s="3"/>
      <c r="E104" s="3"/>
      <c r="F104" s="3"/>
      <c r="G104" s="1"/>
    </row>
    <row r="105" spans="1:7" x14ac:dyDescent="0.25">
      <c r="A105" s="2"/>
      <c r="B105" s="3"/>
      <c r="C105" s="3"/>
      <c r="D105" s="3"/>
      <c r="E105" s="3"/>
      <c r="F105" s="3"/>
      <c r="G105" s="1"/>
    </row>
    <row r="106" spans="1:7" x14ac:dyDescent="0.25">
      <c r="A106" s="2"/>
      <c r="B106" s="3"/>
      <c r="C106" s="3"/>
      <c r="D106" s="3"/>
      <c r="E106" s="3"/>
      <c r="F106" s="3"/>
      <c r="G106" s="1"/>
    </row>
    <row r="107" spans="1:7" x14ac:dyDescent="0.25">
      <c r="A107" s="2"/>
      <c r="B107" s="3"/>
      <c r="C107" s="3"/>
      <c r="D107" s="3"/>
      <c r="E107" s="3"/>
      <c r="F107" s="3"/>
      <c r="G107" s="1"/>
    </row>
    <row r="108" spans="1:7" x14ac:dyDescent="0.25">
      <c r="A108" s="2"/>
      <c r="B108" s="3"/>
      <c r="C108" s="3"/>
      <c r="D108" s="3"/>
      <c r="E108" s="3"/>
      <c r="F108" s="3"/>
      <c r="G108" s="1"/>
    </row>
    <row r="109" spans="1:7" x14ac:dyDescent="0.25">
      <c r="A109" s="2"/>
      <c r="B109" s="3"/>
      <c r="C109" s="3"/>
      <c r="D109" s="3"/>
      <c r="E109" s="3"/>
      <c r="F109" s="3"/>
      <c r="G109" s="1"/>
    </row>
    <row r="110" spans="1:7" x14ac:dyDescent="0.25">
      <c r="A110" s="2"/>
      <c r="B110" s="3"/>
      <c r="C110" s="3"/>
      <c r="D110" s="3"/>
      <c r="E110" s="3"/>
      <c r="F110" s="3"/>
      <c r="G110" s="1"/>
    </row>
    <row r="111" spans="1:7" x14ac:dyDescent="0.25">
      <c r="A111" s="2"/>
      <c r="B111" s="3"/>
      <c r="C111" s="3"/>
      <c r="D111" s="3"/>
      <c r="E111" s="3"/>
      <c r="F111" s="3"/>
      <c r="G111" s="1"/>
    </row>
    <row r="112" spans="1:7" x14ac:dyDescent="0.25">
      <c r="A112" s="2"/>
      <c r="B112" s="3"/>
      <c r="C112" s="3"/>
      <c r="D112" s="3"/>
      <c r="E112" s="3"/>
      <c r="F112" s="3"/>
      <c r="G112" s="1"/>
    </row>
    <row r="113" spans="1:7" x14ac:dyDescent="0.25">
      <c r="A113" s="2"/>
      <c r="B113" s="3"/>
      <c r="C113" s="3"/>
      <c r="D113" s="3"/>
      <c r="E113" s="3"/>
      <c r="F113" s="3"/>
      <c r="G113" s="1"/>
    </row>
    <row r="114" spans="1:7" x14ac:dyDescent="0.25">
      <c r="A114" s="2"/>
      <c r="B114" s="3"/>
      <c r="C114" s="3"/>
      <c r="D114" s="3"/>
      <c r="E114" s="3"/>
      <c r="F114" s="3"/>
      <c r="G114" s="1"/>
    </row>
    <row r="115" spans="1:7" x14ac:dyDescent="0.25">
      <c r="A115" s="2"/>
      <c r="B115" s="3"/>
      <c r="C115" s="3"/>
      <c r="D115" s="3"/>
      <c r="E115" s="3"/>
      <c r="F115" s="3"/>
      <c r="G115" s="1"/>
    </row>
    <row r="116" spans="1:7" x14ac:dyDescent="0.25">
      <c r="A116" s="2"/>
      <c r="B116" s="3"/>
      <c r="C116" s="3"/>
      <c r="D116" s="3"/>
      <c r="E116" s="3"/>
      <c r="F116" s="3"/>
      <c r="G116" s="1"/>
    </row>
    <row r="117" spans="1:7" x14ac:dyDescent="0.25">
      <c r="A117" s="2"/>
      <c r="B117" s="3"/>
      <c r="C117" s="3"/>
      <c r="D117" s="3"/>
      <c r="E117" s="3"/>
      <c r="F117" s="3"/>
      <c r="G117" s="1"/>
    </row>
    <row r="118" spans="1:7" x14ac:dyDescent="0.25">
      <c r="A118" s="2"/>
      <c r="B118" s="3"/>
      <c r="C118" s="3"/>
      <c r="D118" s="3"/>
      <c r="E118" s="3"/>
      <c r="F118" s="3"/>
      <c r="G118" s="1"/>
    </row>
    <row r="119" spans="1:7" x14ac:dyDescent="0.25">
      <c r="A119" s="2"/>
      <c r="B119" s="3"/>
      <c r="C119" s="3"/>
      <c r="D119" s="3"/>
      <c r="E119" s="3"/>
      <c r="F119" s="3"/>
      <c r="G119" s="1"/>
    </row>
    <row r="120" spans="1:7" x14ac:dyDescent="0.25">
      <c r="A120" s="2"/>
      <c r="B120" s="3"/>
      <c r="C120" s="3"/>
      <c r="D120" s="3"/>
      <c r="E120" s="3"/>
      <c r="F120" s="3"/>
      <c r="G120" s="1"/>
    </row>
    <row r="121" spans="1:7" x14ac:dyDescent="0.25">
      <c r="A121" s="2"/>
      <c r="B121" s="3"/>
      <c r="C121" s="3"/>
      <c r="D121" s="3"/>
      <c r="E121" s="3"/>
      <c r="F121" s="3"/>
      <c r="G121" s="1"/>
    </row>
    <row r="122" spans="1:7" x14ac:dyDescent="0.25">
      <c r="A122" s="2"/>
      <c r="B122" s="3"/>
      <c r="C122" s="3"/>
      <c r="D122" s="3"/>
      <c r="E122" s="3"/>
      <c r="F122" s="3"/>
      <c r="G122" s="1"/>
    </row>
    <row r="123" spans="1:7" x14ac:dyDescent="0.25">
      <c r="A123" s="2"/>
      <c r="B123" s="3"/>
      <c r="C123" s="3"/>
      <c r="D123" s="3"/>
      <c r="E123" s="3"/>
      <c r="F123" s="3"/>
      <c r="G123" s="1"/>
    </row>
    <row r="124" spans="1:7" x14ac:dyDescent="0.25">
      <c r="A124" s="2"/>
      <c r="B124" s="3"/>
      <c r="C124" s="3"/>
      <c r="D124" s="3"/>
      <c r="E124" s="3"/>
      <c r="F124" s="3"/>
      <c r="G124" s="1"/>
    </row>
    <row r="125" spans="1:7" x14ac:dyDescent="0.25">
      <c r="A125" s="2"/>
      <c r="B125" s="3"/>
      <c r="C125" s="3"/>
      <c r="D125" s="3"/>
      <c r="E125" s="3"/>
      <c r="F125" s="3"/>
      <c r="G125" s="1"/>
    </row>
    <row r="126" spans="1:7" x14ac:dyDescent="0.25">
      <c r="A126" s="2"/>
      <c r="B126" s="3"/>
      <c r="C126" s="3"/>
      <c r="D126" s="3"/>
      <c r="E126" s="3"/>
      <c r="F126" s="3"/>
      <c r="G126" s="1"/>
    </row>
    <row r="127" spans="1:7" x14ac:dyDescent="0.25">
      <c r="A127" s="2"/>
      <c r="B127" s="3"/>
      <c r="C127" s="3"/>
      <c r="D127" s="3"/>
      <c r="E127" s="3"/>
      <c r="F127" s="3"/>
      <c r="G127" s="1"/>
    </row>
    <row r="128" spans="1:7" x14ac:dyDescent="0.25">
      <c r="A128" s="2"/>
      <c r="B128" s="3"/>
      <c r="C128" s="3"/>
      <c r="D128" s="3"/>
      <c r="E128" s="3"/>
      <c r="F128" s="3"/>
      <c r="G128" s="1"/>
    </row>
    <row r="129" spans="1:7" x14ac:dyDescent="0.25">
      <c r="A129" s="2"/>
      <c r="B129" s="3"/>
      <c r="C129" s="3"/>
      <c r="D129" s="3"/>
      <c r="E129" s="3"/>
      <c r="F129" s="3"/>
      <c r="G129" s="1"/>
    </row>
    <row r="130" spans="1:7" x14ac:dyDescent="0.25">
      <c r="A130" s="2"/>
      <c r="B130" s="3"/>
      <c r="C130" s="3"/>
      <c r="D130" s="3"/>
      <c r="E130" s="3"/>
      <c r="F130" s="3"/>
      <c r="G130" s="1"/>
    </row>
    <row r="131" spans="1:7" x14ac:dyDescent="0.25">
      <c r="A131" s="2"/>
      <c r="B131" s="3"/>
      <c r="C131" s="3"/>
      <c r="D131" s="3"/>
      <c r="E131" s="3"/>
      <c r="F131" s="3"/>
      <c r="G131" s="1"/>
    </row>
    <row r="132" spans="1:7" x14ac:dyDescent="0.25">
      <c r="A132" s="2"/>
      <c r="B132" s="3"/>
      <c r="C132" s="3"/>
      <c r="D132" s="3"/>
      <c r="E132" s="3"/>
      <c r="F132" s="3"/>
      <c r="G132" s="1"/>
    </row>
    <row r="133" spans="1:7" x14ac:dyDescent="0.25">
      <c r="A133" s="2"/>
      <c r="B133" s="3"/>
      <c r="C133" s="3"/>
      <c r="D133" s="3"/>
      <c r="E133" s="3"/>
      <c r="F133" s="3"/>
      <c r="G133" s="1"/>
    </row>
    <row r="134" spans="1:7" x14ac:dyDescent="0.25">
      <c r="A134" s="86"/>
      <c r="B134" s="65"/>
      <c r="C134" s="65"/>
      <c r="D134" s="65"/>
      <c r="E134" s="65"/>
      <c r="F134" s="65"/>
      <c r="G134" s="87"/>
    </row>
  </sheetData>
  <mergeCells count="5">
    <mergeCell ref="A2:A3"/>
    <mergeCell ref="B2:B3"/>
    <mergeCell ref="C2:C3"/>
    <mergeCell ref="D2:D3"/>
    <mergeCell ref="A1:G1"/>
  </mergeCells>
  <pageMargins left="0.7" right="0.7" top="0.75" bottom="0.75" header="0.3" footer="0.3"/>
  <pageSetup scale="81" orientation="portrait" r:id="rId1"/>
  <rowBreaks count="1" manualBreakCount="1">
    <brk id="5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"/>
  <sheetViews>
    <sheetView zoomScaleNormal="100" workbookViewId="0">
      <selection activeCell="K13" sqref="K13"/>
    </sheetView>
  </sheetViews>
  <sheetFormatPr defaultRowHeight="15" x14ac:dyDescent="0.25"/>
  <cols>
    <col min="3" max="3" width="4.5703125" customWidth="1"/>
    <col min="4" max="26" width="4.7109375" customWidth="1"/>
    <col min="27" max="27" width="6.140625" customWidth="1"/>
    <col min="28" max="28" width="5.5703125" customWidth="1"/>
    <col min="29" max="29" width="6.7109375" customWidth="1"/>
  </cols>
  <sheetData>
    <row r="1" spans="1:29" ht="21.75" thickTop="1" x14ac:dyDescent="0.35">
      <c r="A1" s="133" t="s">
        <v>45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5"/>
    </row>
    <row r="2" spans="1:29" x14ac:dyDescent="0.25">
      <c r="A2" s="136" t="s">
        <v>43</v>
      </c>
      <c r="B2" s="138" t="s">
        <v>42</v>
      </c>
      <c r="C2" s="131" t="s">
        <v>19</v>
      </c>
      <c r="D2" s="131"/>
      <c r="E2" s="131"/>
      <c r="F2" s="131" t="s">
        <v>20</v>
      </c>
      <c r="G2" s="131"/>
      <c r="H2" s="131"/>
      <c r="I2" s="131" t="s">
        <v>21</v>
      </c>
      <c r="J2" s="131"/>
      <c r="K2" s="131"/>
      <c r="L2" s="131" t="s">
        <v>22</v>
      </c>
      <c r="M2" s="131"/>
      <c r="N2" s="131"/>
      <c r="O2" s="131" t="s">
        <v>23</v>
      </c>
      <c r="P2" s="131"/>
      <c r="Q2" s="131"/>
      <c r="R2" s="131" t="s">
        <v>24</v>
      </c>
      <c r="S2" s="131"/>
      <c r="T2" s="131"/>
      <c r="U2" s="131" t="s">
        <v>25</v>
      </c>
      <c r="V2" s="131"/>
      <c r="W2" s="131"/>
      <c r="X2" s="131" t="s">
        <v>41</v>
      </c>
      <c r="Y2" s="131"/>
      <c r="Z2" s="132"/>
      <c r="AA2" s="130" t="s">
        <v>38</v>
      </c>
      <c r="AB2" s="131"/>
      <c r="AC2" s="132"/>
    </row>
    <row r="3" spans="1:29" ht="15.75" thickBot="1" x14ac:dyDescent="0.3">
      <c r="A3" s="137"/>
      <c r="B3" s="139"/>
      <c r="C3" s="115" t="s">
        <v>39</v>
      </c>
      <c r="D3" s="115" t="s">
        <v>24</v>
      </c>
      <c r="E3" s="115" t="s">
        <v>40</v>
      </c>
      <c r="F3" s="115" t="s">
        <v>39</v>
      </c>
      <c r="G3" s="115" t="s">
        <v>24</v>
      </c>
      <c r="H3" s="115" t="s">
        <v>40</v>
      </c>
      <c r="I3" s="115" t="s">
        <v>39</v>
      </c>
      <c r="J3" s="115" t="s">
        <v>24</v>
      </c>
      <c r="K3" s="115" t="s">
        <v>40</v>
      </c>
      <c r="L3" s="115" t="s">
        <v>39</v>
      </c>
      <c r="M3" s="115" t="s">
        <v>24</v>
      </c>
      <c r="N3" s="115" t="s">
        <v>40</v>
      </c>
      <c r="O3" s="115" t="s">
        <v>39</v>
      </c>
      <c r="P3" s="115" t="s">
        <v>24</v>
      </c>
      <c r="Q3" s="115" t="s">
        <v>40</v>
      </c>
      <c r="R3" s="115" t="s">
        <v>39</v>
      </c>
      <c r="S3" s="115" t="s">
        <v>24</v>
      </c>
      <c r="T3" s="115" t="s">
        <v>40</v>
      </c>
      <c r="U3" s="115" t="s">
        <v>39</v>
      </c>
      <c r="V3" s="115" t="s">
        <v>24</v>
      </c>
      <c r="W3" s="115" t="s">
        <v>40</v>
      </c>
      <c r="X3" s="115" t="s">
        <v>39</v>
      </c>
      <c r="Y3" s="115" t="s">
        <v>24</v>
      </c>
      <c r="Z3" s="115" t="s">
        <v>40</v>
      </c>
      <c r="AA3" s="44" t="s">
        <v>39</v>
      </c>
      <c r="AB3" s="44" t="s">
        <v>24</v>
      </c>
      <c r="AC3" s="116" t="s">
        <v>40</v>
      </c>
    </row>
    <row r="4" spans="1:29" ht="20.25" customHeight="1" thickTop="1" x14ac:dyDescent="0.25">
      <c r="A4" s="16" t="s">
        <v>26</v>
      </c>
      <c r="B4" s="52">
        <v>6</v>
      </c>
      <c r="C4" s="52">
        <v>20</v>
      </c>
      <c r="D4" s="52">
        <v>24</v>
      </c>
      <c r="E4" s="52">
        <f>(C4+D4)</f>
        <v>44</v>
      </c>
      <c r="F4" s="52">
        <v>18</v>
      </c>
      <c r="G4" s="52">
        <v>21</v>
      </c>
      <c r="H4" s="52">
        <f>(F4+G4)</f>
        <v>39</v>
      </c>
      <c r="I4" s="52">
        <v>22</v>
      </c>
      <c r="J4" s="52">
        <v>20</v>
      </c>
      <c r="K4" s="52">
        <f>(I4+J4)</f>
        <v>42</v>
      </c>
      <c r="L4" s="52">
        <v>24</v>
      </c>
      <c r="M4" s="52">
        <v>18</v>
      </c>
      <c r="N4" s="52">
        <f>(L4+M4)</f>
        <v>42</v>
      </c>
      <c r="O4" s="52">
        <v>24</v>
      </c>
      <c r="P4" s="52">
        <v>14</v>
      </c>
      <c r="Q4" s="52">
        <f>(O4+P4)</f>
        <v>38</v>
      </c>
      <c r="R4" s="52">
        <v>19</v>
      </c>
      <c r="S4" s="52">
        <v>18</v>
      </c>
      <c r="T4" s="52">
        <f>(R4+S4)</f>
        <v>37</v>
      </c>
      <c r="U4" s="52">
        <v>0</v>
      </c>
      <c r="V4" s="52">
        <v>0</v>
      </c>
      <c r="W4" s="52">
        <v>0</v>
      </c>
      <c r="X4" s="52">
        <f>(C4+F4+I4+L4+O4+R4+U4)</f>
        <v>127</v>
      </c>
      <c r="Y4" s="52">
        <f>(D4+G4+J4+M4+P4+S4+V4)</f>
        <v>115</v>
      </c>
      <c r="Z4" s="53">
        <f>(E4+H4+K4+N4+Q4+T4+W4)</f>
        <v>242</v>
      </c>
      <c r="AA4" s="55"/>
      <c r="AB4" s="56"/>
      <c r="AC4" s="57"/>
    </row>
    <row r="5" spans="1:29" ht="20.25" customHeight="1" x14ac:dyDescent="0.25">
      <c r="A5" s="17" t="s">
        <v>17</v>
      </c>
      <c r="B5" s="54">
        <v>6</v>
      </c>
      <c r="C5" s="54">
        <v>23</v>
      </c>
      <c r="D5" s="54">
        <v>23</v>
      </c>
      <c r="E5" s="52">
        <f t="shared" ref="E5:E14" si="0">(C5+D5)</f>
        <v>46</v>
      </c>
      <c r="F5" s="54">
        <v>22</v>
      </c>
      <c r="G5" s="54">
        <v>21</v>
      </c>
      <c r="H5" s="52">
        <f t="shared" ref="H5:H14" si="1">(F5+G5)</f>
        <v>43</v>
      </c>
      <c r="I5" s="54">
        <v>21</v>
      </c>
      <c r="J5" s="54">
        <v>12</v>
      </c>
      <c r="K5" s="52">
        <f t="shared" ref="K5:K14" si="2">(I5+J5)</f>
        <v>33</v>
      </c>
      <c r="L5" s="54">
        <v>21</v>
      </c>
      <c r="M5" s="54">
        <v>22</v>
      </c>
      <c r="N5" s="52">
        <f t="shared" ref="N5:N14" si="3">(L5+M5)</f>
        <v>43</v>
      </c>
      <c r="O5" s="54">
        <v>22</v>
      </c>
      <c r="P5" s="54">
        <v>23</v>
      </c>
      <c r="Q5" s="52">
        <f t="shared" ref="Q5:Q14" si="4">(O5+P5)</f>
        <v>45</v>
      </c>
      <c r="R5" s="54">
        <v>21</v>
      </c>
      <c r="S5" s="54">
        <v>24</v>
      </c>
      <c r="T5" s="52">
        <f t="shared" ref="T5:T14" si="5">(R5+S5)</f>
        <v>45</v>
      </c>
      <c r="U5" s="54"/>
      <c r="V5" s="54"/>
      <c r="W5" s="52">
        <v>0</v>
      </c>
      <c r="X5" s="52">
        <f t="shared" ref="X5:X14" si="6">(C5+F5+I5+L5+O5+R5+U5)</f>
        <v>130</v>
      </c>
      <c r="Y5" s="52">
        <f t="shared" ref="Y5:Y14" si="7">(D5+G5+J5+M5+P5+S5+V5)</f>
        <v>125</v>
      </c>
      <c r="Z5" s="53">
        <f t="shared" ref="Z5:Z14" si="8">(E5+H5+K5+N5+Q5+T5+W5)</f>
        <v>255</v>
      </c>
      <c r="AA5" s="55"/>
      <c r="AB5" s="56"/>
      <c r="AC5" s="57"/>
    </row>
    <row r="6" spans="1:29" ht="21" customHeight="1" thickBot="1" x14ac:dyDescent="0.3">
      <c r="A6" s="17" t="s">
        <v>18</v>
      </c>
      <c r="B6" s="54">
        <v>5</v>
      </c>
      <c r="C6" s="54">
        <v>25</v>
      </c>
      <c r="D6" s="54">
        <v>22</v>
      </c>
      <c r="E6" s="52">
        <f t="shared" si="0"/>
        <v>47</v>
      </c>
      <c r="F6" s="54">
        <v>21</v>
      </c>
      <c r="G6" s="54">
        <v>23</v>
      </c>
      <c r="H6" s="52">
        <f t="shared" si="1"/>
        <v>44</v>
      </c>
      <c r="I6" s="54">
        <v>25</v>
      </c>
      <c r="J6" s="54">
        <v>21</v>
      </c>
      <c r="K6" s="52">
        <f t="shared" si="2"/>
        <v>46</v>
      </c>
      <c r="L6" s="54">
        <v>27</v>
      </c>
      <c r="M6" s="54">
        <v>19</v>
      </c>
      <c r="N6" s="52">
        <f t="shared" si="3"/>
        <v>46</v>
      </c>
      <c r="O6" s="54">
        <v>23</v>
      </c>
      <c r="P6" s="54">
        <v>22</v>
      </c>
      <c r="Q6" s="52">
        <f t="shared" si="4"/>
        <v>45</v>
      </c>
      <c r="R6" s="54"/>
      <c r="S6" s="54"/>
      <c r="T6" s="52">
        <f t="shared" si="5"/>
        <v>0</v>
      </c>
      <c r="U6" s="54"/>
      <c r="V6" s="54"/>
      <c r="W6" s="52">
        <v>0</v>
      </c>
      <c r="X6" s="52">
        <f t="shared" si="6"/>
        <v>121</v>
      </c>
      <c r="Y6" s="52">
        <f t="shared" si="7"/>
        <v>107</v>
      </c>
      <c r="Z6" s="53">
        <f t="shared" si="8"/>
        <v>228</v>
      </c>
      <c r="AA6" s="58">
        <f>(X4+X5+X6)</f>
        <v>378</v>
      </c>
      <c r="AB6" s="59">
        <f>(Y4+Y5+Y6)</f>
        <v>347</v>
      </c>
      <c r="AC6" s="60">
        <f>(AA6+AB6)</f>
        <v>725</v>
      </c>
    </row>
    <row r="7" spans="1:29" ht="20.25" customHeight="1" thickTop="1" x14ac:dyDescent="0.25">
      <c r="A7" s="35">
        <v>1</v>
      </c>
      <c r="B7" s="3">
        <v>7</v>
      </c>
      <c r="C7" s="3">
        <v>25</v>
      </c>
      <c r="D7" s="3">
        <v>25</v>
      </c>
      <c r="E7" s="11">
        <f t="shared" si="0"/>
        <v>50</v>
      </c>
      <c r="F7" s="3">
        <v>27</v>
      </c>
      <c r="G7" s="3">
        <v>23</v>
      </c>
      <c r="H7" s="11">
        <f t="shared" si="1"/>
        <v>50</v>
      </c>
      <c r="I7" s="3">
        <v>24</v>
      </c>
      <c r="J7" s="3">
        <v>23</v>
      </c>
      <c r="K7" s="11">
        <f t="shared" si="2"/>
        <v>47</v>
      </c>
      <c r="L7" s="3">
        <v>24</v>
      </c>
      <c r="M7" s="3">
        <v>25</v>
      </c>
      <c r="N7" s="11">
        <f t="shared" si="3"/>
        <v>49</v>
      </c>
      <c r="O7" s="3">
        <v>26</v>
      </c>
      <c r="P7" s="3">
        <v>23</v>
      </c>
      <c r="Q7" s="11">
        <f t="shared" si="4"/>
        <v>49</v>
      </c>
      <c r="R7" s="3">
        <v>21</v>
      </c>
      <c r="S7" s="3">
        <v>26</v>
      </c>
      <c r="T7" s="11">
        <f t="shared" si="5"/>
        <v>47</v>
      </c>
      <c r="U7" s="3">
        <v>21</v>
      </c>
      <c r="V7" s="3">
        <v>22</v>
      </c>
      <c r="W7" s="11">
        <f>(U7+V7)</f>
        <v>43</v>
      </c>
      <c r="X7" s="11">
        <f t="shared" si="6"/>
        <v>168</v>
      </c>
      <c r="Y7" s="11">
        <f t="shared" si="7"/>
        <v>167</v>
      </c>
      <c r="Z7" s="12">
        <f t="shared" si="8"/>
        <v>335</v>
      </c>
      <c r="AA7" s="40"/>
      <c r="AB7" s="40"/>
      <c r="AC7" s="41"/>
    </row>
    <row r="8" spans="1:29" ht="20.25" customHeight="1" x14ac:dyDescent="0.25">
      <c r="A8" s="35">
        <v>2</v>
      </c>
      <c r="B8" s="3">
        <v>7</v>
      </c>
      <c r="C8" s="3">
        <v>18</v>
      </c>
      <c r="D8" s="3">
        <v>28</v>
      </c>
      <c r="E8" s="11">
        <f t="shared" si="0"/>
        <v>46</v>
      </c>
      <c r="F8" s="3">
        <v>24</v>
      </c>
      <c r="G8" s="3">
        <v>22</v>
      </c>
      <c r="H8" s="11">
        <f t="shared" si="1"/>
        <v>46</v>
      </c>
      <c r="I8" s="3">
        <v>21</v>
      </c>
      <c r="J8" s="3">
        <v>26</v>
      </c>
      <c r="K8" s="11">
        <f t="shared" si="2"/>
        <v>47</v>
      </c>
      <c r="L8" s="3">
        <v>24</v>
      </c>
      <c r="M8" s="3">
        <v>23</v>
      </c>
      <c r="N8" s="11">
        <f t="shared" si="3"/>
        <v>47</v>
      </c>
      <c r="O8" s="3">
        <v>21</v>
      </c>
      <c r="P8" s="3">
        <v>27</v>
      </c>
      <c r="Q8" s="11">
        <f t="shared" si="4"/>
        <v>48</v>
      </c>
      <c r="R8" s="3">
        <v>24</v>
      </c>
      <c r="S8" s="3">
        <v>22</v>
      </c>
      <c r="T8" s="11">
        <f t="shared" si="5"/>
        <v>46</v>
      </c>
      <c r="U8" s="3">
        <v>21</v>
      </c>
      <c r="V8" s="3">
        <v>24</v>
      </c>
      <c r="W8" s="11">
        <f t="shared" ref="W8:W14" si="9">(U8+V8)</f>
        <v>45</v>
      </c>
      <c r="X8" s="11">
        <f t="shared" si="6"/>
        <v>153</v>
      </c>
      <c r="Y8" s="11">
        <f t="shared" si="7"/>
        <v>172</v>
      </c>
      <c r="Z8" s="12">
        <f t="shared" si="8"/>
        <v>325</v>
      </c>
      <c r="AA8" s="40"/>
      <c r="AB8" s="40"/>
      <c r="AC8" s="41"/>
    </row>
    <row r="9" spans="1:29" ht="20.25" customHeight="1" x14ac:dyDescent="0.25">
      <c r="A9" s="35">
        <v>3</v>
      </c>
      <c r="B9" s="3">
        <v>5</v>
      </c>
      <c r="C9" s="3">
        <v>30</v>
      </c>
      <c r="D9" s="3">
        <v>20</v>
      </c>
      <c r="E9" s="11">
        <f t="shared" si="0"/>
        <v>50</v>
      </c>
      <c r="F9" s="3">
        <v>24</v>
      </c>
      <c r="G9" s="3">
        <v>26</v>
      </c>
      <c r="H9" s="11">
        <f t="shared" si="1"/>
        <v>50</v>
      </c>
      <c r="I9" s="3">
        <v>24</v>
      </c>
      <c r="J9" s="3">
        <v>25</v>
      </c>
      <c r="K9" s="11">
        <f t="shared" si="2"/>
        <v>49</v>
      </c>
      <c r="L9" s="3">
        <v>23</v>
      </c>
      <c r="M9" s="3">
        <v>26</v>
      </c>
      <c r="N9" s="11">
        <f t="shared" si="3"/>
        <v>49</v>
      </c>
      <c r="O9" s="3">
        <v>24</v>
      </c>
      <c r="P9" s="3">
        <v>22</v>
      </c>
      <c r="Q9" s="11">
        <f t="shared" si="4"/>
        <v>46</v>
      </c>
      <c r="R9" s="3"/>
      <c r="S9" s="3"/>
      <c r="T9" s="11">
        <f t="shared" si="5"/>
        <v>0</v>
      </c>
      <c r="U9" s="3"/>
      <c r="V9" s="3"/>
      <c r="W9" s="11">
        <f t="shared" si="9"/>
        <v>0</v>
      </c>
      <c r="X9" s="11">
        <f t="shared" si="6"/>
        <v>125</v>
      </c>
      <c r="Y9" s="11">
        <f t="shared" si="7"/>
        <v>119</v>
      </c>
      <c r="Z9" s="12">
        <f t="shared" si="8"/>
        <v>244</v>
      </c>
      <c r="AA9" s="40"/>
      <c r="AB9" s="40"/>
      <c r="AC9" s="41"/>
    </row>
    <row r="10" spans="1:29" ht="20.25" customHeight="1" x14ac:dyDescent="0.25">
      <c r="A10" s="35">
        <v>4</v>
      </c>
      <c r="B10" s="3">
        <v>5</v>
      </c>
      <c r="C10" s="3">
        <v>23</v>
      </c>
      <c r="D10" s="3">
        <v>27</v>
      </c>
      <c r="E10" s="11">
        <f t="shared" si="0"/>
        <v>50</v>
      </c>
      <c r="F10" s="3">
        <v>26</v>
      </c>
      <c r="G10" s="3">
        <v>25</v>
      </c>
      <c r="H10" s="11">
        <f t="shared" si="1"/>
        <v>51</v>
      </c>
      <c r="I10" s="3">
        <v>22</v>
      </c>
      <c r="J10" s="3">
        <v>24</v>
      </c>
      <c r="K10" s="11">
        <f t="shared" si="2"/>
        <v>46</v>
      </c>
      <c r="L10" s="3">
        <v>22</v>
      </c>
      <c r="M10" s="3">
        <v>24</v>
      </c>
      <c r="N10" s="11">
        <f t="shared" si="3"/>
        <v>46</v>
      </c>
      <c r="O10" s="3">
        <v>26</v>
      </c>
      <c r="P10" s="3">
        <v>21</v>
      </c>
      <c r="Q10" s="11">
        <f t="shared" si="4"/>
        <v>47</v>
      </c>
      <c r="R10" s="3"/>
      <c r="S10" s="3"/>
      <c r="T10" s="11">
        <f t="shared" si="5"/>
        <v>0</v>
      </c>
      <c r="U10" s="3"/>
      <c r="V10" s="3"/>
      <c r="W10" s="11">
        <f t="shared" si="9"/>
        <v>0</v>
      </c>
      <c r="X10" s="11">
        <f t="shared" si="6"/>
        <v>119</v>
      </c>
      <c r="Y10" s="11">
        <f t="shared" si="7"/>
        <v>121</v>
      </c>
      <c r="Z10" s="12">
        <f t="shared" si="8"/>
        <v>240</v>
      </c>
      <c r="AA10" s="40"/>
      <c r="AB10" s="40"/>
      <c r="AC10" s="41"/>
    </row>
    <row r="11" spans="1:29" ht="20.25" customHeight="1" x14ac:dyDescent="0.25">
      <c r="A11" s="35">
        <v>5</v>
      </c>
      <c r="B11" s="3">
        <v>5</v>
      </c>
      <c r="C11" s="3">
        <v>22</v>
      </c>
      <c r="D11" s="3">
        <v>23</v>
      </c>
      <c r="E11" s="11">
        <f t="shared" si="0"/>
        <v>45</v>
      </c>
      <c r="F11" s="3">
        <v>18</v>
      </c>
      <c r="G11" s="3">
        <v>25</v>
      </c>
      <c r="H11" s="11">
        <f t="shared" si="1"/>
        <v>43</v>
      </c>
      <c r="I11" s="3">
        <v>24</v>
      </c>
      <c r="J11" s="3">
        <v>17</v>
      </c>
      <c r="K11" s="11">
        <f t="shared" si="2"/>
        <v>41</v>
      </c>
      <c r="L11" s="3">
        <v>24</v>
      </c>
      <c r="M11" s="3">
        <v>21</v>
      </c>
      <c r="N11" s="11">
        <f t="shared" si="3"/>
        <v>45</v>
      </c>
      <c r="O11" s="3">
        <v>23</v>
      </c>
      <c r="P11" s="3">
        <v>23</v>
      </c>
      <c r="Q11" s="11">
        <f t="shared" si="4"/>
        <v>46</v>
      </c>
      <c r="R11" s="3"/>
      <c r="S11" s="3"/>
      <c r="T11" s="11">
        <f t="shared" si="5"/>
        <v>0</v>
      </c>
      <c r="U11" s="3"/>
      <c r="V11" s="3"/>
      <c r="W11" s="11">
        <f t="shared" si="9"/>
        <v>0</v>
      </c>
      <c r="X11" s="11">
        <f t="shared" si="6"/>
        <v>111</v>
      </c>
      <c r="Y11" s="11">
        <f t="shared" si="7"/>
        <v>109</v>
      </c>
      <c r="Z11" s="12">
        <f t="shared" si="8"/>
        <v>220</v>
      </c>
      <c r="AA11" s="40"/>
      <c r="AB11" s="40"/>
      <c r="AC11" s="41"/>
    </row>
    <row r="12" spans="1:29" ht="20.25" customHeight="1" x14ac:dyDescent="0.25">
      <c r="A12" s="35">
        <v>6</v>
      </c>
      <c r="B12" s="3">
        <v>5</v>
      </c>
      <c r="C12" s="3">
        <v>23</v>
      </c>
      <c r="D12" s="3">
        <v>27</v>
      </c>
      <c r="E12" s="11">
        <f t="shared" si="0"/>
        <v>50</v>
      </c>
      <c r="F12" s="3">
        <v>27</v>
      </c>
      <c r="G12" s="3">
        <v>26</v>
      </c>
      <c r="H12" s="11">
        <f t="shared" si="1"/>
        <v>53</v>
      </c>
      <c r="I12" s="3">
        <v>24</v>
      </c>
      <c r="J12" s="3">
        <v>26</v>
      </c>
      <c r="K12" s="11">
        <f t="shared" si="2"/>
        <v>50</v>
      </c>
      <c r="L12" s="3">
        <v>29</v>
      </c>
      <c r="M12" s="3">
        <v>22</v>
      </c>
      <c r="N12" s="11">
        <f t="shared" si="3"/>
        <v>51</v>
      </c>
      <c r="O12" s="3">
        <v>28</v>
      </c>
      <c r="P12" s="3">
        <v>24</v>
      </c>
      <c r="Q12" s="11">
        <f t="shared" si="4"/>
        <v>52</v>
      </c>
      <c r="R12" s="3"/>
      <c r="S12" s="3"/>
      <c r="T12" s="11">
        <f t="shared" si="5"/>
        <v>0</v>
      </c>
      <c r="U12" s="3"/>
      <c r="V12" s="3"/>
      <c r="W12" s="11">
        <f t="shared" si="9"/>
        <v>0</v>
      </c>
      <c r="X12" s="11">
        <f t="shared" si="6"/>
        <v>131</v>
      </c>
      <c r="Y12" s="11">
        <f t="shared" si="7"/>
        <v>125</v>
      </c>
      <c r="Z12" s="12">
        <f t="shared" si="8"/>
        <v>256</v>
      </c>
      <c r="AA12" s="40"/>
      <c r="AB12" s="40"/>
      <c r="AC12" s="41"/>
    </row>
    <row r="13" spans="1:29" ht="20.25" customHeight="1" x14ac:dyDescent="0.25">
      <c r="A13" s="35">
        <v>7</v>
      </c>
      <c r="B13" s="3">
        <v>5</v>
      </c>
      <c r="C13" s="3">
        <v>24</v>
      </c>
      <c r="D13" s="3">
        <v>29</v>
      </c>
      <c r="E13" s="11">
        <f t="shared" si="0"/>
        <v>53</v>
      </c>
      <c r="F13" s="3">
        <v>26</v>
      </c>
      <c r="G13" s="3">
        <v>27</v>
      </c>
      <c r="H13" s="11">
        <f t="shared" si="1"/>
        <v>53</v>
      </c>
      <c r="I13" s="3">
        <v>33</v>
      </c>
      <c r="J13" s="3">
        <v>19</v>
      </c>
      <c r="K13" s="11">
        <f t="shared" si="2"/>
        <v>52</v>
      </c>
      <c r="L13" s="3">
        <v>31</v>
      </c>
      <c r="M13" s="3">
        <v>29</v>
      </c>
      <c r="N13" s="11">
        <f t="shared" si="3"/>
        <v>60</v>
      </c>
      <c r="O13" s="3">
        <v>24</v>
      </c>
      <c r="P13" s="3">
        <v>25</v>
      </c>
      <c r="Q13" s="11">
        <f t="shared" si="4"/>
        <v>49</v>
      </c>
      <c r="R13" s="3"/>
      <c r="S13" s="3"/>
      <c r="T13" s="11">
        <f t="shared" si="5"/>
        <v>0</v>
      </c>
      <c r="U13" s="3"/>
      <c r="V13" s="3"/>
      <c r="W13" s="11">
        <f t="shared" si="9"/>
        <v>0</v>
      </c>
      <c r="X13" s="11">
        <f t="shared" si="6"/>
        <v>138</v>
      </c>
      <c r="Y13" s="11">
        <f t="shared" si="7"/>
        <v>129</v>
      </c>
      <c r="Z13" s="12">
        <f t="shared" si="8"/>
        <v>267</v>
      </c>
      <c r="AA13" s="40"/>
      <c r="AB13" s="40"/>
      <c r="AC13" s="41"/>
    </row>
    <row r="14" spans="1:29" ht="20.25" customHeight="1" thickBot="1" x14ac:dyDescent="0.3">
      <c r="A14" s="36">
        <v>8</v>
      </c>
      <c r="B14" s="4">
        <v>4</v>
      </c>
      <c r="C14" s="4">
        <v>26</v>
      </c>
      <c r="D14" s="4">
        <v>31</v>
      </c>
      <c r="E14" s="4">
        <f t="shared" si="0"/>
        <v>57</v>
      </c>
      <c r="F14" s="4">
        <v>22</v>
      </c>
      <c r="G14" s="4">
        <v>33</v>
      </c>
      <c r="H14" s="4">
        <f t="shared" si="1"/>
        <v>55</v>
      </c>
      <c r="I14" s="4">
        <v>24</v>
      </c>
      <c r="J14" s="4">
        <v>35</v>
      </c>
      <c r="K14" s="4">
        <f t="shared" si="2"/>
        <v>59</v>
      </c>
      <c r="L14" s="4">
        <v>26</v>
      </c>
      <c r="M14" s="4">
        <v>32</v>
      </c>
      <c r="N14" s="4">
        <f t="shared" si="3"/>
        <v>58</v>
      </c>
      <c r="O14" s="4"/>
      <c r="P14" s="4"/>
      <c r="Q14" s="4">
        <f t="shared" si="4"/>
        <v>0</v>
      </c>
      <c r="R14" s="4"/>
      <c r="S14" s="4"/>
      <c r="T14" s="4">
        <f t="shared" si="5"/>
        <v>0</v>
      </c>
      <c r="U14" s="4"/>
      <c r="V14" s="4"/>
      <c r="W14" s="4">
        <f t="shared" si="9"/>
        <v>0</v>
      </c>
      <c r="X14" s="4">
        <f t="shared" si="6"/>
        <v>98</v>
      </c>
      <c r="Y14" s="4">
        <f t="shared" si="7"/>
        <v>131</v>
      </c>
      <c r="Z14" s="5">
        <f t="shared" si="8"/>
        <v>229</v>
      </c>
      <c r="AA14" s="40">
        <f>(X7+X8+X9+X10+X11+X12+X13+X14)</f>
        <v>1043</v>
      </c>
      <c r="AB14" s="40">
        <f>(Y7+Y8+Y9+Y10+Y11+Y12+Y13+Y14)</f>
        <v>1073</v>
      </c>
      <c r="AC14" s="41">
        <f>(AA14+AB14)</f>
        <v>2116</v>
      </c>
    </row>
    <row r="15" spans="1:29" ht="16.5" thickTop="1" thickBot="1" x14ac:dyDescent="0.3">
      <c r="A15" s="38" t="s">
        <v>44</v>
      </c>
      <c r="B15" s="118">
        <f>SUM(B4:B14)</f>
        <v>60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50">
        <f>(AA6+AA14)</f>
        <v>1421</v>
      </c>
      <c r="AB15" s="50">
        <f>(AB6+AB14)</f>
        <v>1420</v>
      </c>
      <c r="AC15" s="51">
        <f>(AA15+AB15)</f>
        <v>2841</v>
      </c>
    </row>
    <row r="16" spans="1:29" ht="15.75" thickTop="1" x14ac:dyDescent="0.25"/>
  </sheetData>
  <mergeCells count="12">
    <mergeCell ref="AA2:AC2"/>
    <mergeCell ref="A1:AC1"/>
    <mergeCell ref="X2:Z2"/>
    <mergeCell ref="A2:A3"/>
    <mergeCell ref="B2:B3"/>
    <mergeCell ref="C2:E2"/>
    <mergeCell ref="F2:H2"/>
    <mergeCell ref="I2:K2"/>
    <mergeCell ref="L2:N2"/>
    <mergeCell ref="O2:Q2"/>
    <mergeCell ref="R2:T2"/>
    <mergeCell ref="U2:W2"/>
  </mergeCells>
  <pageMargins left="0.7" right="0.7" top="0.75" bottom="0.75" header="0.3" footer="0.3"/>
  <pageSetup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zoomScaleNormal="100" workbookViewId="0">
      <selection activeCell="I23" sqref="I23"/>
    </sheetView>
  </sheetViews>
  <sheetFormatPr defaultRowHeight="15" x14ac:dyDescent="0.25"/>
  <cols>
    <col min="1" max="1" width="26.85546875" customWidth="1"/>
  </cols>
  <sheetData>
    <row r="1" spans="1:13" ht="21.75" thickTop="1" x14ac:dyDescent="0.35">
      <c r="A1" s="140" t="s">
        <v>50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2"/>
    </row>
    <row r="2" spans="1:13" ht="15.75" x14ac:dyDescent="0.25">
      <c r="A2" s="145" t="s">
        <v>49</v>
      </c>
      <c r="B2" s="143" t="s">
        <v>48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4"/>
    </row>
    <row r="3" spans="1:13" ht="15.75" x14ac:dyDescent="0.25">
      <c r="A3" s="146"/>
      <c r="B3" s="20" t="s">
        <v>26</v>
      </c>
      <c r="C3" s="20" t="s">
        <v>17</v>
      </c>
      <c r="D3" s="20" t="s">
        <v>18</v>
      </c>
      <c r="E3" s="20">
        <v>1</v>
      </c>
      <c r="F3" s="20">
        <v>2</v>
      </c>
      <c r="G3" s="20">
        <v>3</v>
      </c>
      <c r="H3" s="20">
        <v>4</v>
      </c>
      <c r="I3" s="20">
        <v>5</v>
      </c>
      <c r="J3" s="20">
        <v>6</v>
      </c>
      <c r="K3" s="20">
        <v>7</v>
      </c>
      <c r="L3" s="20">
        <v>8</v>
      </c>
      <c r="M3" s="21"/>
    </row>
    <row r="4" spans="1:13" ht="15.75" x14ac:dyDescent="0.25">
      <c r="A4" s="18" t="s">
        <v>28</v>
      </c>
      <c r="B4" s="42">
        <v>5</v>
      </c>
      <c r="C4" s="42">
        <v>5</v>
      </c>
      <c r="D4" s="43">
        <v>5</v>
      </c>
      <c r="E4" s="26">
        <v>5</v>
      </c>
      <c r="F4" s="27">
        <v>5</v>
      </c>
      <c r="G4" s="27">
        <v>5</v>
      </c>
      <c r="H4" s="27">
        <v>5</v>
      </c>
      <c r="I4" s="27">
        <v>5</v>
      </c>
      <c r="J4" s="27">
        <v>5</v>
      </c>
      <c r="K4" s="27">
        <v>3</v>
      </c>
      <c r="L4" s="27">
        <v>3</v>
      </c>
      <c r="M4" s="19"/>
    </row>
    <row r="5" spans="1:13" ht="15.75" x14ac:dyDescent="0.25">
      <c r="A5" s="18" t="s">
        <v>29</v>
      </c>
      <c r="B5" s="42">
        <v>4</v>
      </c>
      <c r="C5" s="42">
        <v>4</v>
      </c>
      <c r="D5" s="43">
        <v>5</v>
      </c>
      <c r="E5" s="26">
        <v>5</v>
      </c>
      <c r="F5" s="27">
        <v>5</v>
      </c>
      <c r="G5" s="27">
        <v>5</v>
      </c>
      <c r="H5" s="27">
        <v>5</v>
      </c>
      <c r="I5" s="27">
        <v>6</v>
      </c>
      <c r="J5" s="27">
        <v>6</v>
      </c>
      <c r="K5" s="27">
        <v>5</v>
      </c>
      <c r="L5" s="27">
        <v>5</v>
      </c>
      <c r="M5" s="19"/>
    </row>
    <row r="6" spans="1:13" ht="15.75" x14ac:dyDescent="0.25">
      <c r="A6" s="18" t="s">
        <v>37</v>
      </c>
      <c r="B6" s="42">
        <v>5</v>
      </c>
      <c r="C6" s="42">
        <v>5</v>
      </c>
      <c r="D6" s="43">
        <v>5</v>
      </c>
      <c r="E6" s="26">
        <v>6</v>
      </c>
      <c r="F6" s="26">
        <v>6</v>
      </c>
      <c r="G6" s="27">
        <v>6</v>
      </c>
      <c r="H6" s="27">
        <v>6</v>
      </c>
      <c r="I6" s="27">
        <v>6</v>
      </c>
      <c r="J6" s="27">
        <v>6</v>
      </c>
      <c r="K6" s="27">
        <v>6</v>
      </c>
      <c r="L6" s="27">
        <v>5</v>
      </c>
      <c r="M6" s="19"/>
    </row>
    <row r="7" spans="1:13" ht="15.75" x14ac:dyDescent="0.25">
      <c r="A7" s="18" t="s">
        <v>47</v>
      </c>
      <c r="B7" s="42">
        <v>4</v>
      </c>
      <c r="C7" s="42">
        <v>4</v>
      </c>
      <c r="D7" s="43">
        <v>4</v>
      </c>
      <c r="E7" s="26">
        <v>5</v>
      </c>
      <c r="F7" s="26">
        <v>5</v>
      </c>
      <c r="G7" s="27">
        <v>5</v>
      </c>
      <c r="H7" s="27">
        <v>5</v>
      </c>
      <c r="I7" s="27">
        <v>6</v>
      </c>
      <c r="J7" s="27">
        <v>6</v>
      </c>
      <c r="K7" s="27">
        <v>5</v>
      </c>
      <c r="L7" s="27">
        <v>5</v>
      </c>
      <c r="M7" s="19"/>
    </row>
    <row r="8" spans="1:13" ht="15.75" x14ac:dyDescent="0.25">
      <c r="A8" s="18" t="s">
        <v>30</v>
      </c>
      <c r="B8" s="42"/>
      <c r="C8" s="42"/>
      <c r="D8" s="43"/>
      <c r="E8" s="26">
        <v>2</v>
      </c>
      <c r="F8" s="26">
        <v>2</v>
      </c>
      <c r="G8" s="27">
        <v>3</v>
      </c>
      <c r="H8" s="27">
        <v>3</v>
      </c>
      <c r="I8" s="27">
        <v>3</v>
      </c>
      <c r="J8" s="27">
        <v>3</v>
      </c>
      <c r="K8" s="27">
        <v>3</v>
      </c>
      <c r="L8" s="27">
        <v>3</v>
      </c>
      <c r="M8" s="19"/>
    </row>
    <row r="9" spans="1:13" ht="15.75" x14ac:dyDescent="0.25">
      <c r="A9" s="22" t="s">
        <v>33</v>
      </c>
      <c r="B9" s="42"/>
      <c r="C9" s="42"/>
      <c r="D9" s="43"/>
      <c r="E9" s="26">
        <v>3</v>
      </c>
      <c r="F9" s="26">
        <v>3</v>
      </c>
      <c r="G9" s="27">
        <v>3</v>
      </c>
      <c r="H9" s="27">
        <v>3</v>
      </c>
      <c r="I9" s="27">
        <v>3</v>
      </c>
      <c r="J9" s="27">
        <v>3</v>
      </c>
      <c r="K9" s="27">
        <v>2</v>
      </c>
      <c r="L9" s="27">
        <v>2</v>
      </c>
      <c r="M9" s="19"/>
    </row>
    <row r="10" spans="1:13" ht="15.75" x14ac:dyDescent="0.25">
      <c r="A10" s="18" t="s">
        <v>35</v>
      </c>
      <c r="B10" s="42">
        <v>7</v>
      </c>
      <c r="C10" s="42">
        <v>7</v>
      </c>
      <c r="D10" s="43">
        <v>7</v>
      </c>
      <c r="E10" s="26">
        <v>2</v>
      </c>
      <c r="F10" s="26">
        <v>2</v>
      </c>
      <c r="G10" s="27">
        <v>2</v>
      </c>
      <c r="H10" s="27">
        <v>2</v>
      </c>
      <c r="I10" s="27">
        <v>2</v>
      </c>
      <c r="J10" s="27">
        <v>2</v>
      </c>
      <c r="K10" s="27">
        <v>2</v>
      </c>
      <c r="L10" s="27">
        <v>2</v>
      </c>
      <c r="M10" s="19"/>
    </row>
    <row r="11" spans="1:13" ht="15.75" x14ac:dyDescent="0.25">
      <c r="A11" s="18" t="s">
        <v>27</v>
      </c>
      <c r="B11" s="42"/>
      <c r="C11" s="42"/>
      <c r="D11" s="43"/>
      <c r="E11" s="26">
        <v>2</v>
      </c>
      <c r="F11" s="27">
        <v>2</v>
      </c>
      <c r="G11" s="27">
        <v>2</v>
      </c>
      <c r="H11" s="27">
        <v>2</v>
      </c>
      <c r="I11" s="27"/>
      <c r="J11" s="27"/>
      <c r="K11" s="27"/>
      <c r="L11" s="27"/>
      <c r="M11" s="19"/>
    </row>
    <row r="12" spans="1:13" ht="15.75" x14ac:dyDescent="0.25">
      <c r="A12" s="18" t="s">
        <v>46</v>
      </c>
      <c r="B12" s="42">
        <v>5</v>
      </c>
      <c r="C12" s="42">
        <v>5</v>
      </c>
      <c r="D12" s="43">
        <v>5</v>
      </c>
      <c r="E12" s="26">
        <v>3</v>
      </c>
      <c r="F12" s="26">
        <v>3</v>
      </c>
      <c r="G12" s="27">
        <v>2</v>
      </c>
      <c r="H12" s="27">
        <v>2</v>
      </c>
      <c r="I12" s="27"/>
      <c r="J12" s="27"/>
      <c r="K12" s="27"/>
      <c r="L12" s="27"/>
      <c r="M12" s="19"/>
    </row>
    <row r="13" spans="1:13" ht="15.75" x14ac:dyDescent="0.25">
      <c r="A13" s="18" t="s">
        <v>34</v>
      </c>
      <c r="B13" s="42"/>
      <c r="C13" s="42"/>
      <c r="D13" s="43"/>
      <c r="E13" s="26"/>
      <c r="F13" s="26"/>
      <c r="G13" s="27"/>
      <c r="H13" s="27"/>
      <c r="I13" s="27">
        <v>2</v>
      </c>
      <c r="J13" s="27">
        <v>2</v>
      </c>
      <c r="K13" s="27">
        <v>2</v>
      </c>
      <c r="L13" s="27">
        <v>2</v>
      </c>
      <c r="M13" s="19"/>
    </row>
    <row r="14" spans="1:13" ht="15.75" x14ac:dyDescent="0.25">
      <c r="A14" s="18" t="s">
        <v>31</v>
      </c>
      <c r="B14" s="42"/>
      <c r="C14" s="42"/>
      <c r="D14" s="43"/>
      <c r="E14" s="26"/>
      <c r="F14" s="26"/>
      <c r="G14" s="27"/>
      <c r="H14" s="27"/>
      <c r="I14" s="27"/>
      <c r="J14" s="27"/>
      <c r="K14" s="27">
        <v>3</v>
      </c>
      <c r="L14" s="27">
        <v>4</v>
      </c>
      <c r="M14" s="19"/>
    </row>
    <row r="15" spans="1:13" ht="15.75" x14ac:dyDescent="0.25">
      <c r="A15" s="23" t="s">
        <v>32</v>
      </c>
      <c r="B15" s="42"/>
      <c r="C15" s="42"/>
      <c r="D15" s="43"/>
      <c r="E15" s="26"/>
      <c r="F15" s="26"/>
      <c r="G15" s="27"/>
      <c r="H15" s="27"/>
      <c r="I15" s="27"/>
      <c r="J15" s="27"/>
      <c r="K15" s="27">
        <v>2</v>
      </c>
      <c r="L15" s="27">
        <v>2</v>
      </c>
      <c r="M15" s="19"/>
    </row>
    <row r="16" spans="1:13" ht="15.75" x14ac:dyDescent="0.25">
      <c r="A16" s="18" t="s">
        <v>53</v>
      </c>
      <c r="B16" s="42">
        <v>4</v>
      </c>
      <c r="C16" s="42">
        <v>4</v>
      </c>
      <c r="D16" s="43">
        <v>4</v>
      </c>
      <c r="E16" s="26"/>
      <c r="F16" s="26"/>
      <c r="G16" s="26"/>
      <c r="H16" s="26"/>
      <c r="I16" s="26"/>
      <c r="J16" s="26"/>
      <c r="K16" s="26"/>
      <c r="L16" s="26"/>
      <c r="M16" s="19"/>
    </row>
    <row r="17" spans="1:13" ht="15.75" x14ac:dyDescent="0.25">
      <c r="A17" s="18" t="s">
        <v>54</v>
      </c>
      <c r="B17" s="42">
        <v>5</v>
      </c>
      <c r="C17" s="42">
        <v>5</v>
      </c>
      <c r="D17" s="43">
        <v>5</v>
      </c>
      <c r="E17" s="26"/>
      <c r="F17" s="26"/>
      <c r="G17" s="26"/>
      <c r="H17" s="26"/>
      <c r="I17" s="26"/>
      <c r="J17" s="26"/>
      <c r="K17" s="26"/>
      <c r="L17" s="26"/>
      <c r="M17" s="19"/>
    </row>
    <row r="18" spans="1:13" ht="15.75" x14ac:dyDescent="0.25">
      <c r="A18" s="18" t="s">
        <v>52</v>
      </c>
      <c r="B18" s="42">
        <v>4</v>
      </c>
      <c r="C18" s="42">
        <v>4</v>
      </c>
      <c r="D18" s="43">
        <v>4</v>
      </c>
      <c r="E18" s="26"/>
      <c r="F18" s="26"/>
      <c r="G18" s="26"/>
      <c r="H18" s="26"/>
      <c r="I18" s="26"/>
      <c r="J18" s="26"/>
      <c r="K18" s="26"/>
      <c r="L18" s="26"/>
      <c r="M18" s="19"/>
    </row>
    <row r="19" spans="1:13" ht="15.75" x14ac:dyDescent="0.25">
      <c r="A19" s="24" t="s">
        <v>36</v>
      </c>
      <c r="B19" s="37">
        <f>SUM(B4:B18)</f>
        <v>43</v>
      </c>
      <c r="C19" s="37">
        <f t="shared" ref="C19:D19" si="0">SUM(C4:C18)</f>
        <v>43</v>
      </c>
      <c r="D19" s="49">
        <f t="shared" si="0"/>
        <v>44</v>
      </c>
      <c r="E19" s="34">
        <f>SUM(E4:E12)</f>
        <v>33</v>
      </c>
      <c r="F19" s="34">
        <f>SUM(F4:F12)</f>
        <v>33</v>
      </c>
      <c r="G19" s="34">
        <f>SUM(G4:G12)</f>
        <v>33</v>
      </c>
      <c r="H19" s="34">
        <f>SUM(H4:H12)</f>
        <v>33</v>
      </c>
      <c r="I19" s="34">
        <f>SUM(I4:I15)</f>
        <v>33</v>
      </c>
      <c r="J19" s="34">
        <f t="shared" ref="J19:L19" si="1">SUM(J4:J15)</f>
        <v>33</v>
      </c>
      <c r="K19" s="34">
        <f t="shared" si="1"/>
        <v>33</v>
      </c>
      <c r="L19" s="34">
        <f t="shared" si="1"/>
        <v>33</v>
      </c>
      <c r="M19" s="25"/>
    </row>
    <row r="20" spans="1:13" ht="15.75" x14ac:dyDescent="0.25">
      <c r="A20" s="28" t="s">
        <v>51</v>
      </c>
      <c r="B20" s="44">
        <v>6</v>
      </c>
      <c r="C20" s="44">
        <v>6</v>
      </c>
      <c r="D20" s="47">
        <v>5</v>
      </c>
      <c r="E20" s="34">
        <v>7</v>
      </c>
      <c r="F20" s="29">
        <v>7</v>
      </c>
      <c r="G20" s="29">
        <v>5</v>
      </c>
      <c r="H20" s="29">
        <v>5</v>
      </c>
      <c r="I20" s="29">
        <v>5</v>
      </c>
      <c r="J20" s="29">
        <v>5</v>
      </c>
      <c r="K20" s="29">
        <v>5</v>
      </c>
      <c r="L20" s="29">
        <v>4</v>
      </c>
      <c r="M20" s="30">
        <v>60</v>
      </c>
    </row>
    <row r="21" spans="1:13" ht="15.75" thickBot="1" x14ac:dyDescent="0.3">
      <c r="A21" s="31"/>
      <c r="B21" s="45">
        <f>(B19*B20)</f>
        <v>258</v>
      </c>
      <c r="C21" s="45">
        <f t="shared" ref="C21:D21" si="2">(C19*C20)</f>
        <v>258</v>
      </c>
      <c r="D21" s="48">
        <f t="shared" si="2"/>
        <v>220</v>
      </c>
      <c r="E21" s="46">
        <f>(E19*E20)</f>
        <v>231</v>
      </c>
      <c r="F21" s="32">
        <f t="shared" ref="F21:L21" si="3">(F19*F20)</f>
        <v>231</v>
      </c>
      <c r="G21" s="32">
        <f t="shared" si="3"/>
        <v>165</v>
      </c>
      <c r="H21" s="32">
        <f t="shared" si="3"/>
        <v>165</v>
      </c>
      <c r="I21" s="32">
        <f t="shared" si="3"/>
        <v>165</v>
      </c>
      <c r="J21" s="32">
        <f t="shared" si="3"/>
        <v>165</v>
      </c>
      <c r="K21" s="32">
        <f t="shared" si="3"/>
        <v>165</v>
      </c>
      <c r="L21" s="32">
        <f t="shared" si="3"/>
        <v>132</v>
      </c>
      <c r="M21" s="33"/>
    </row>
    <row r="22" spans="1:13" ht="15.75" thickTop="1" x14ac:dyDescent="0.25">
      <c r="D22">
        <f>(B21+C21+D21)</f>
        <v>736</v>
      </c>
      <c r="M22">
        <v>1419</v>
      </c>
    </row>
  </sheetData>
  <mergeCells count="3">
    <mergeCell ref="A1:M1"/>
    <mergeCell ref="B2:M2"/>
    <mergeCell ref="A2:A3"/>
  </mergeCells>
  <pageMargins left="0.7" right="0.7" top="0.75" bottom="0.75" header="0.3" footer="0.3"/>
  <pageSetup scale="7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zoomScaleNormal="100" workbookViewId="0">
      <selection activeCell="B4" sqref="B4"/>
    </sheetView>
  </sheetViews>
  <sheetFormatPr defaultRowHeight="15" x14ac:dyDescent="0.25"/>
  <cols>
    <col min="1" max="1" width="9" customWidth="1"/>
    <col min="2" max="2" width="20.28515625" customWidth="1"/>
    <col min="4" max="4" width="11.85546875" customWidth="1"/>
    <col min="5" max="5" width="19.140625" customWidth="1"/>
    <col min="6" max="6" width="14.140625" customWidth="1"/>
    <col min="7" max="7" width="10.140625" customWidth="1"/>
  </cols>
  <sheetData>
    <row r="1" spans="1:7" ht="21.75" thickTop="1" x14ac:dyDescent="0.35">
      <c r="A1" s="127" t="s">
        <v>302</v>
      </c>
      <c r="B1" s="128"/>
      <c r="C1" s="128"/>
      <c r="D1" s="128"/>
      <c r="E1" s="128"/>
      <c r="F1" s="128"/>
      <c r="G1" s="129"/>
    </row>
    <row r="2" spans="1:7" x14ac:dyDescent="0.25">
      <c r="A2" s="123" t="s">
        <v>1</v>
      </c>
      <c r="B2" s="125" t="s">
        <v>188</v>
      </c>
      <c r="C2" s="125" t="s">
        <v>282</v>
      </c>
      <c r="D2" s="125" t="s">
        <v>283</v>
      </c>
      <c r="E2" s="147" t="s">
        <v>284</v>
      </c>
      <c r="F2" s="147" t="s">
        <v>285</v>
      </c>
      <c r="G2" s="149" t="s">
        <v>286</v>
      </c>
    </row>
    <row r="3" spans="1:7" ht="15.75" thickBot="1" x14ac:dyDescent="0.3">
      <c r="A3" s="124"/>
      <c r="B3" s="126"/>
      <c r="C3" s="126"/>
      <c r="D3" s="126"/>
      <c r="E3" s="148"/>
      <c r="F3" s="148"/>
      <c r="G3" s="150"/>
    </row>
    <row r="4" spans="1:7" ht="15.75" thickTop="1" x14ac:dyDescent="0.25">
      <c r="A4" s="89">
        <v>1</v>
      </c>
      <c r="B4" s="90" t="s">
        <v>362</v>
      </c>
      <c r="C4" s="90" t="s">
        <v>39</v>
      </c>
      <c r="D4" s="90" t="s">
        <v>57</v>
      </c>
      <c r="E4" s="90" t="s">
        <v>361</v>
      </c>
      <c r="F4" s="90" t="s">
        <v>304</v>
      </c>
      <c r="G4" s="91"/>
    </row>
    <row r="5" spans="1:7" x14ac:dyDescent="0.25">
      <c r="A5" s="2">
        <v>2</v>
      </c>
      <c r="B5" s="3" t="s">
        <v>287</v>
      </c>
      <c r="C5" s="3" t="s">
        <v>39</v>
      </c>
      <c r="D5" s="3" t="s">
        <v>135</v>
      </c>
      <c r="E5" s="3" t="s">
        <v>307</v>
      </c>
      <c r="F5" s="3" t="s">
        <v>288</v>
      </c>
      <c r="G5" s="1"/>
    </row>
    <row r="6" spans="1:7" x14ac:dyDescent="0.25">
      <c r="A6" s="2">
        <v>3</v>
      </c>
      <c r="B6" s="3" t="s">
        <v>289</v>
      </c>
      <c r="C6" s="3" t="s">
        <v>39</v>
      </c>
      <c r="D6" s="3" t="s">
        <v>67</v>
      </c>
      <c r="E6" s="3" t="s">
        <v>290</v>
      </c>
      <c r="F6" s="66" t="s">
        <v>291</v>
      </c>
      <c r="G6" s="1"/>
    </row>
    <row r="7" spans="1:7" x14ac:dyDescent="0.25">
      <c r="A7" s="2">
        <v>4</v>
      </c>
      <c r="B7" s="3" t="s">
        <v>292</v>
      </c>
      <c r="C7" s="3" t="s">
        <v>39</v>
      </c>
      <c r="D7" s="3" t="s">
        <v>67</v>
      </c>
      <c r="E7" s="3" t="s">
        <v>93</v>
      </c>
      <c r="F7" s="3" t="s">
        <v>293</v>
      </c>
      <c r="G7" s="1"/>
    </row>
    <row r="8" spans="1:7" x14ac:dyDescent="0.25">
      <c r="A8" s="2">
        <v>5</v>
      </c>
      <c r="B8" s="3" t="s">
        <v>294</v>
      </c>
      <c r="C8" s="3" t="s">
        <v>39</v>
      </c>
      <c r="D8" s="3" t="s">
        <v>67</v>
      </c>
      <c r="E8" s="3" t="s">
        <v>102</v>
      </c>
      <c r="F8" s="3" t="s">
        <v>293</v>
      </c>
      <c r="G8" s="1"/>
    </row>
    <row r="9" spans="1:7" x14ac:dyDescent="0.25">
      <c r="A9" s="2">
        <v>6</v>
      </c>
      <c r="B9" s="3" t="s">
        <v>295</v>
      </c>
      <c r="C9" s="3" t="s">
        <v>39</v>
      </c>
      <c r="D9" s="3" t="s">
        <v>67</v>
      </c>
      <c r="E9" s="3" t="s">
        <v>80</v>
      </c>
      <c r="F9" s="3" t="s">
        <v>293</v>
      </c>
      <c r="G9" s="1"/>
    </row>
    <row r="10" spans="1:7" x14ac:dyDescent="0.25">
      <c r="A10" s="2">
        <v>7</v>
      </c>
      <c r="B10" s="3" t="s">
        <v>296</v>
      </c>
      <c r="C10" s="3" t="s">
        <v>39</v>
      </c>
      <c r="D10" s="3" t="s">
        <v>135</v>
      </c>
      <c r="E10" s="66" t="s">
        <v>297</v>
      </c>
      <c r="F10" s="3" t="s">
        <v>298</v>
      </c>
      <c r="G10" s="1"/>
    </row>
    <row r="11" spans="1:7" x14ac:dyDescent="0.25">
      <c r="A11" s="93">
        <v>8</v>
      </c>
      <c r="B11" s="71" t="s">
        <v>299</v>
      </c>
      <c r="C11" s="71" t="s">
        <v>24</v>
      </c>
      <c r="D11" s="71" t="s">
        <v>300</v>
      </c>
      <c r="E11" s="94" t="s">
        <v>301</v>
      </c>
      <c r="F11" s="71" t="s">
        <v>303</v>
      </c>
      <c r="G11" s="95" t="s">
        <v>269</v>
      </c>
    </row>
    <row r="12" spans="1:7" ht="15.75" thickBot="1" x14ac:dyDescent="0.3">
      <c r="A12" s="96">
        <v>9</v>
      </c>
      <c r="B12" s="97" t="s">
        <v>305</v>
      </c>
      <c r="C12" s="97" t="s">
        <v>24</v>
      </c>
      <c r="D12" s="97" t="s">
        <v>67</v>
      </c>
      <c r="E12" s="97" t="s">
        <v>306</v>
      </c>
      <c r="F12" s="98" t="s">
        <v>288</v>
      </c>
      <c r="G12" s="99"/>
    </row>
    <row r="13" spans="1:7" ht="15.75" thickTop="1" x14ac:dyDescent="0.25"/>
  </sheetData>
  <mergeCells count="8">
    <mergeCell ref="A1:G1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  <pageSetup scale="9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opLeftCell="A24" zoomScaleNormal="100" workbookViewId="0">
      <selection activeCell="J48" sqref="J48"/>
    </sheetView>
  </sheetViews>
  <sheetFormatPr defaultRowHeight="15" x14ac:dyDescent="0.25"/>
  <cols>
    <col min="1" max="1" width="5.7109375" customWidth="1"/>
    <col min="2" max="2" width="18.85546875" customWidth="1"/>
    <col min="3" max="3" width="6.42578125" customWidth="1"/>
    <col min="4" max="4" width="12.7109375" customWidth="1"/>
    <col min="5" max="5" width="17.5703125" customWidth="1"/>
    <col min="6" max="6" width="11.85546875" customWidth="1"/>
    <col min="7" max="7" width="10.5703125" customWidth="1"/>
    <col min="10" max="10" width="12.7109375" customWidth="1"/>
  </cols>
  <sheetData>
    <row r="1" spans="1:10" ht="19.5" thickTop="1" x14ac:dyDescent="0.3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2"/>
    </row>
    <row r="2" spans="1:10" x14ac:dyDescent="0.25">
      <c r="A2" s="123" t="s">
        <v>1</v>
      </c>
      <c r="B2" s="125" t="s">
        <v>55</v>
      </c>
      <c r="C2" s="125" t="s">
        <v>2</v>
      </c>
      <c r="D2" s="125" t="s">
        <v>3</v>
      </c>
      <c r="E2" s="6" t="s">
        <v>12</v>
      </c>
      <c r="F2" s="67" t="s">
        <v>10</v>
      </c>
      <c r="G2" s="8" t="s">
        <v>4</v>
      </c>
      <c r="H2" s="67" t="s">
        <v>6</v>
      </c>
      <c r="I2" s="67" t="s">
        <v>8</v>
      </c>
      <c r="J2" s="9" t="s">
        <v>14</v>
      </c>
    </row>
    <row r="3" spans="1:10" ht="15.75" thickBot="1" x14ac:dyDescent="0.3">
      <c r="A3" s="124"/>
      <c r="B3" s="126"/>
      <c r="C3" s="147"/>
      <c r="D3" s="147"/>
      <c r="E3" s="103" t="s">
        <v>13</v>
      </c>
      <c r="F3" s="92" t="s">
        <v>11</v>
      </c>
      <c r="G3" s="92" t="s">
        <v>5</v>
      </c>
      <c r="H3" s="92" t="s">
        <v>7</v>
      </c>
      <c r="I3" s="92" t="s">
        <v>9</v>
      </c>
      <c r="J3" s="13"/>
    </row>
    <row r="4" spans="1:10" ht="15.75" thickTop="1" x14ac:dyDescent="0.25">
      <c r="A4" s="89">
        <v>1</v>
      </c>
      <c r="B4" s="90" t="s">
        <v>308</v>
      </c>
      <c r="C4" s="104" t="s">
        <v>24</v>
      </c>
      <c r="D4" s="3" t="s">
        <v>67</v>
      </c>
      <c r="E4" s="3" t="s">
        <v>309</v>
      </c>
      <c r="F4" s="3" t="s">
        <v>311</v>
      </c>
      <c r="G4" s="3" t="s">
        <v>312</v>
      </c>
      <c r="H4" s="3">
        <v>1</v>
      </c>
      <c r="I4" s="3"/>
      <c r="J4" s="91" t="s">
        <v>310</v>
      </c>
    </row>
    <row r="5" spans="1:10" x14ac:dyDescent="0.25">
      <c r="A5" s="2">
        <v>2</v>
      </c>
      <c r="B5" s="3" t="s">
        <v>313</v>
      </c>
      <c r="C5" s="104" t="s">
        <v>24</v>
      </c>
      <c r="D5" s="3" t="s">
        <v>57</v>
      </c>
      <c r="E5" s="3" t="s">
        <v>166</v>
      </c>
      <c r="F5" s="3" t="s">
        <v>311</v>
      </c>
      <c r="G5" s="3" t="s">
        <v>312</v>
      </c>
      <c r="H5" s="3">
        <v>1</v>
      </c>
      <c r="I5" s="3"/>
      <c r="J5" s="1" t="s">
        <v>310</v>
      </c>
    </row>
    <row r="6" spans="1:10" x14ac:dyDescent="0.25">
      <c r="A6" s="2">
        <v>3</v>
      </c>
      <c r="B6" s="3" t="s">
        <v>314</v>
      </c>
      <c r="C6" s="104" t="s">
        <v>24</v>
      </c>
      <c r="D6" s="3">
        <v>10</v>
      </c>
      <c r="E6" s="3"/>
      <c r="F6" s="3" t="s">
        <v>311</v>
      </c>
      <c r="G6" s="3" t="s">
        <v>312</v>
      </c>
      <c r="H6" s="3">
        <v>1</v>
      </c>
      <c r="I6" s="3"/>
      <c r="J6" s="1" t="s">
        <v>310</v>
      </c>
    </row>
    <row r="7" spans="1:10" x14ac:dyDescent="0.25">
      <c r="A7" s="2">
        <v>4</v>
      </c>
      <c r="B7" s="3" t="s">
        <v>315</v>
      </c>
      <c r="C7" s="104" t="s">
        <v>24</v>
      </c>
      <c r="D7" s="3" t="s">
        <v>67</v>
      </c>
      <c r="E7" s="3" t="s">
        <v>28</v>
      </c>
      <c r="F7" s="3" t="s">
        <v>311</v>
      </c>
      <c r="G7" s="3" t="s">
        <v>312</v>
      </c>
      <c r="H7" s="3">
        <v>1</v>
      </c>
      <c r="I7" s="3"/>
      <c r="J7" s="1"/>
    </row>
    <row r="8" spans="1:10" x14ac:dyDescent="0.25">
      <c r="A8" s="2">
        <v>5</v>
      </c>
      <c r="B8" s="3" t="s">
        <v>316</v>
      </c>
      <c r="C8" s="104" t="s">
        <v>24</v>
      </c>
      <c r="D8" s="3" t="s">
        <v>83</v>
      </c>
      <c r="E8" s="3" t="s">
        <v>102</v>
      </c>
      <c r="F8" s="3" t="s">
        <v>311</v>
      </c>
      <c r="G8" s="3" t="s">
        <v>312</v>
      </c>
      <c r="H8" s="3">
        <v>1</v>
      </c>
      <c r="I8" s="3"/>
      <c r="J8" s="1"/>
    </row>
    <row r="9" spans="1:10" x14ac:dyDescent="0.25">
      <c r="A9" s="2">
        <v>6</v>
      </c>
      <c r="B9" s="3" t="s">
        <v>317</v>
      </c>
      <c r="C9" s="104" t="s">
        <v>24</v>
      </c>
      <c r="D9" s="3" t="s">
        <v>67</v>
      </c>
      <c r="E9" s="3" t="s">
        <v>359</v>
      </c>
      <c r="F9" s="3" t="s">
        <v>311</v>
      </c>
      <c r="G9" s="3" t="s">
        <v>312</v>
      </c>
      <c r="H9" s="3">
        <v>1</v>
      </c>
      <c r="I9" s="3"/>
      <c r="J9" s="1" t="s">
        <v>310</v>
      </c>
    </row>
    <row r="10" spans="1:10" x14ac:dyDescent="0.25">
      <c r="A10" s="105">
        <v>7</v>
      </c>
      <c r="B10" s="54" t="s">
        <v>318</v>
      </c>
      <c r="C10" s="106" t="s">
        <v>24</v>
      </c>
      <c r="D10" s="54" t="s">
        <v>57</v>
      </c>
      <c r="E10" s="107" t="s">
        <v>319</v>
      </c>
      <c r="F10" s="54" t="s">
        <v>311</v>
      </c>
      <c r="G10" s="54" t="s">
        <v>17</v>
      </c>
      <c r="H10" s="54">
        <v>1</v>
      </c>
      <c r="I10" s="54"/>
      <c r="J10" s="62" t="s">
        <v>310</v>
      </c>
    </row>
    <row r="11" spans="1:10" x14ac:dyDescent="0.25">
      <c r="A11" s="105">
        <v>8</v>
      </c>
      <c r="B11" s="54" t="s">
        <v>320</v>
      </c>
      <c r="C11" s="106" t="s">
        <v>24</v>
      </c>
      <c r="D11" s="54" t="s">
        <v>57</v>
      </c>
      <c r="E11" s="54" t="s">
        <v>321</v>
      </c>
      <c r="F11" s="54" t="s">
        <v>311</v>
      </c>
      <c r="G11" s="54" t="s">
        <v>17</v>
      </c>
      <c r="H11" s="54">
        <v>1</v>
      </c>
      <c r="I11" s="54"/>
      <c r="J11" s="62"/>
    </row>
    <row r="12" spans="1:10" x14ac:dyDescent="0.25">
      <c r="A12" s="105">
        <v>9</v>
      </c>
      <c r="B12" s="54" t="s">
        <v>322</v>
      </c>
      <c r="C12" s="106" t="s">
        <v>24</v>
      </c>
      <c r="D12" s="54" t="s">
        <v>57</v>
      </c>
      <c r="E12" s="54" t="s">
        <v>166</v>
      </c>
      <c r="F12" s="54" t="s">
        <v>311</v>
      </c>
      <c r="G12" s="54" t="s">
        <v>17</v>
      </c>
      <c r="H12" s="54">
        <v>1</v>
      </c>
      <c r="I12" s="54"/>
      <c r="J12" s="62"/>
    </row>
    <row r="13" spans="1:10" x14ac:dyDescent="0.25">
      <c r="A13" s="105">
        <v>10</v>
      </c>
      <c r="B13" s="54" t="s">
        <v>323</v>
      </c>
      <c r="C13" s="106" t="s">
        <v>24</v>
      </c>
      <c r="D13" s="54" t="s">
        <v>57</v>
      </c>
      <c r="E13" s="54" t="s">
        <v>166</v>
      </c>
      <c r="F13" s="54" t="s">
        <v>311</v>
      </c>
      <c r="G13" s="54" t="s">
        <v>17</v>
      </c>
      <c r="H13" s="54">
        <v>1</v>
      </c>
      <c r="I13" s="54"/>
      <c r="J13" s="62"/>
    </row>
    <row r="14" spans="1:10" x14ac:dyDescent="0.25">
      <c r="A14" s="105">
        <v>11</v>
      </c>
      <c r="B14" s="54" t="s">
        <v>324</v>
      </c>
      <c r="C14" s="106" t="s">
        <v>24</v>
      </c>
      <c r="D14" s="54" t="s">
        <v>325</v>
      </c>
      <c r="E14" s="54" t="s">
        <v>359</v>
      </c>
      <c r="F14" s="54" t="s">
        <v>311</v>
      </c>
      <c r="G14" s="54" t="s">
        <v>17</v>
      </c>
      <c r="H14" s="54">
        <v>1</v>
      </c>
      <c r="I14" s="54"/>
      <c r="J14" s="62" t="s">
        <v>310</v>
      </c>
    </row>
    <row r="15" spans="1:10" x14ac:dyDescent="0.25">
      <c r="A15" s="105">
        <v>12</v>
      </c>
      <c r="B15" s="54" t="s">
        <v>326</v>
      </c>
      <c r="C15" s="106" t="s">
        <v>24</v>
      </c>
      <c r="D15" s="54" t="s">
        <v>57</v>
      </c>
      <c r="E15" s="54" t="s">
        <v>327</v>
      </c>
      <c r="F15" s="54" t="s">
        <v>311</v>
      </c>
      <c r="G15" s="54" t="s">
        <v>17</v>
      </c>
      <c r="H15" s="54">
        <v>1</v>
      </c>
      <c r="I15" s="54"/>
      <c r="J15" s="62"/>
    </row>
    <row r="16" spans="1:10" x14ac:dyDescent="0.25">
      <c r="A16" s="2">
        <v>13</v>
      </c>
      <c r="B16" s="3" t="s">
        <v>328</v>
      </c>
      <c r="C16" s="104" t="s">
        <v>24</v>
      </c>
      <c r="D16" s="3" t="s">
        <v>67</v>
      </c>
      <c r="E16" s="3" t="s">
        <v>28</v>
      </c>
      <c r="F16" s="3" t="s">
        <v>311</v>
      </c>
      <c r="G16" s="3" t="s">
        <v>18</v>
      </c>
      <c r="H16" s="3">
        <v>1</v>
      </c>
      <c r="I16" s="3"/>
      <c r="J16" s="1"/>
    </row>
    <row r="17" spans="1:10" x14ac:dyDescent="0.25">
      <c r="A17" s="2">
        <v>14</v>
      </c>
      <c r="B17" s="3" t="s">
        <v>329</v>
      </c>
      <c r="C17" s="104" t="s">
        <v>24</v>
      </c>
      <c r="D17" s="3" t="s">
        <v>57</v>
      </c>
      <c r="E17" s="3" t="s">
        <v>145</v>
      </c>
      <c r="F17" s="3" t="s">
        <v>311</v>
      </c>
      <c r="G17" s="3" t="s">
        <v>18</v>
      </c>
      <c r="H17" s="3">
        <v>1</v>
      </c>
      <c r="I17" s="3"/>
      <c r="J17" s="1"/>
    </row>
    <row r="18" spans="1:10" x14ac:dyDescent="0.25">
      <c r="A18" s="2">
        <v>15</v>
      </c>
      <c r="B18" s="3" t="s">
        <v>330</v>
      </c>
      <c r="C18" s="104" t="s">
        <v>24</v>
      </c>
      <c r="D18" s="61">
        <v>12</v>
      </c>
      <c r="E18" s="3"/>
      <c r="F18" s="3" t="s">
        <v>311</v>
      </c>
      <c r="G18" s="3" t="s">
        <v>18</v>
      </c>
      <c r="H18" s="3">
        <v>1</v>
      </c>
      <c r="I18" s="3"/>
      <c r="J18" s="1" t="s">
        <v>310</v>
      </c>
    </row>
    <row r="19" spans="1:10" x14ac:dyDescent="0.25">
      <c r="A19" s="2">
        <v>16</v>
      </c>
      <c r="B19" s="3" t="s">
        <v>331</v>
      </c>
      <c r="C19" s="104" t="s">
        <v>24</v>
      </c>
      <c r="D19" s="3" t="s">
        <v>67</v>
      </c>
      <c r="E19" s="3" t="s">
        <v>28</v>
      </c>
      <c r="F19" s="3" t="s">
        <v>311</v>
      </c>
      <c r="G19" s="3" t="s">
        <v>18</v>
      </c>
      <c r="H19" s="3">
        <v>1</v>
      </c>
      <c r="I19" s="3"/>
      <c r="J19" s="1"/>
    </row>
    <row r="20" spans="1:10" x14ac:dyDescent="0.25">
      <c r="A20" s="2">
        <v>17</v>
      </c>
      <c r="B20" s="3" t="s">
        <v>333</v>
      </c>
      <c r="C20" s="104" t="s">
        <v>24</v>
      </c>
      <c r="D20" s="3" t="s">
        <v>325</v>
      </c>
      <c r="E20" s="3" t="s">
        <v>309</v>
      </c>
      <c r="F20" s="3" t="s">
        <v>311</v>
      </c>
      <c r="G20" s="3" t="s">
        <v>18</v>
      </c>
      <c r="H20" s="3">
        <v>1</v>
      </c>
      <c r="I20" s="3"/>
      <c r="J20" s="1" t="s">
        <v>310</v>
      </c>
    </row>
    <row r="21" spans="1:10" x14ac:dyDescent="0.25">
      <c r="A21" s="2">
        <v>18</v>
      </c>
      <c r="B21" s="3" t="s">
        <v>335</v>
      </c>
      <c r="C21" s="104" t="s">
        <v>24</v>
      </c>
      <c r="D21" s="3" t="s">
        <v>57</v>
      </c>
      <c r="E21" s="3" t="s">
        <v>332</v>
      </c>
      <c r="F21" s="3" t="s">
        <v>311</v>
      </c>
      <c r="G21" s="3" t="s">
        <v>18</v>
      </c>
      <c r="H21" s="3">
        <v>1</v>
      </c>
      <c r="I21" s="3"/>
      <c r="J21" s="1" t="s">
        <v>310</v>
      </c>
    </row>
    <row r="22" spans="1:10" x14ac:dyDescent="0.25">
      <c r="A22" s="105">
        <v>19</v>
      </c>
      <c r="B22" s="54" t="s">
        <v>336</v>
      </c>
      <c r="C22" s="106" t="s">
        <v>24</v>
      </c>
      <c r="D22" s="54" t="s">
        <v>67</v>
      </c>
      <c r="E22" s="107" t="s">
        <v>337</v>
      </c>
      <c r="F22" s="54" t="s">
        <v>334</v>
      </c>
      <c r="G22" s="54" t="s">
        <v>312</v>
      </c>
      <c r="H22" s="54">
        <v>1</v>
      </c>
      <c r="I22" s="54"/>
      <c r="J22" s="62"/>
    </row>
    <row r="23" spans="1:10" x14ac:dyDescent="0.25">
      <c r="A23" s="105">
        <v>20</v>
      </c>
      <c r="B23" s="54" t="s">
        <v>339</v>
      </c>
      <c r="C23" s="106" t="s">
        <v>24</v>
      </c>
      <c r="D23" s="54" t="s">
        <v>57</v>
      </c>
      <c r="E23" s="54" t="s">
        <v>166</v>
      </c>
      <c r="F23" s="54" t="s">
        <v>334</v>
      </c>
      <c r="G23" s="54" t="s">
        <v>312</v>
      </c>
      <c r="H23" s="54">
        <v>1</v>
      </c>
      <c r="I23" s="54"/>
      <c r="J23" s="62"/>
    </row>
    <row r="24" spans="1:10" x14ac:dyDescent="0.25">
      <c r="A24" s="105">
        <v>21</v>
      </c>
      <c r="B24" s="54" t="s">
        <v>340</v>
      </c>
      <c r="C24" s="106" t="s">
        <v>24</v>
      </c>
      <c r="D24" s="63">
        <v>10</v>
      </c>
      <c r="E24" s="54"/>
      <c r="F24" s="54" t="s">
        <v>334</v>
      </c>
      <c r="G24" s="54" t="s">
        <v>312</v>
      </c>
      <c r="H24" s="54">
        <v>1</v>
      </c>
      <c r="I24" s="54"/>
      <c r="J24" s="62" t="s">
        <v>310</v>
      </c>
    </row>
    <row r="25" spans="1:10" x14ac:dyDescent="0.25">
      <c r="A25" s="105">
        <v>22</v>
      </c>
      <c r="B25" s="54" t="s">
        <v>341</v>
      </c>
      <c r="C25" s="54"/>
      <c r="D25" s="54" t="s">
        <v>67</v>
      </c>
      <c r="E25" s="54" t="s">
        <v>34</v>
      </c>
      <c r="F25" s="54" t="s">
        <v>334</v>
      </c>
      <c r="G25" s="54" t="s">
        <v>312</v>
      </c>
      <c r="H25" s="54">
        <v>1</v>
      </c>
      <c r="I25" s="54"/>
      <c r="J25" s="62" t="s">
        <v>310</v>
      </c>
    </row>
    <row r="26" spans="1:10" x14ac:dyDescent="0.25">
      <c r="A26" s="105">
        <v>23</v>
      </c>
      <c r="B26" s="54" t="s">
        <v>342</v>
      </c>
      <c r="C26" s="54"/>
      <c r="D26" s="54" t="s">
        <v>57</v>
      </c>
      <c r="E26" s="54" t="s">
        <v>166</v>
      </c>
      <c r="F26" s="54" t="s">
        <v>334</v>
      </c>
      <c r="G26" s="54" t="s">
        <v>312</v>
      </c>
      <c r="H26" s="54">
        <v>1</v>
      </c>
      <c r="I26" s="54"/>
      <c r="J26" s="62"/>
    </row>
    <row r="27" spans="1:10" x14ac:dyDescent="0.25">
      <c r="A27" s="2">
        <v>24</v>
      </c>
      <c r="B27" s="3" t="s">
        <v>338</v>
      </c>
      <c r="C27" s="104" t="s">
        <v>24</v>
      </c>
      <c r="D27" s="61" t="s">
        <v>67</v>
      </c>
      <c r="E27" s="3" t="s">
        <v>34</v>
      </c>
      <c r="F27" s="3" t="s">
        <v>334</v>
      </c>
      <c r="G27" s="3" t="s">
        <v>17</v>
      </c>
      <c r="H27" s="3">
        <v>1</v>
      </c>
      <c r="I27" s="3"/>
      <c r="J27" s="1"/>
    </row>
    <row r="28" spans="1:10" x14ac:dyDescent="0.25">
      <c r="A28" s="2">
        <v>25</v>
      </c>
      <c r="B28" s="3" t="s">
        <v>343</v>
      </c>
      <c r="C28" s="104" t="s">
        <v>24</v>
      </c>
      <c r="D28" s="61">
        <v>10</v>
      </c>
      <c r="E28" s="3"/>
      <c r="F28" s="3" t="s">
        <v>334</v>
      </c>
      <c r="G28" s="3" t="s">
        <v>17</v>
      </c>
      <c r="H28" s="3">
        <v>1</v>
      </c>
      <c r="I28" s="3"/>
      <c r="J28" s="1" t="s">
        <v>310</v>
      </c>
    </row>
    <row r="29" spans="1:10" x14ac:dyDescent="0.25">
      <c r="A29" s="2">
        <v>26</v>
      </c>
      <c r="B29" s="3" t="s">
        <v>344</v>
      </c>
      <c r="C29" s="104" t="s">
        <v>24</v>
      </c>
      <c r="D29" s="61">
        <v>10</v>
      </c>
      <c r="E29" s="3"/>
      <c r="F29" s="3" t="s">
        <v>334</v>
      </c>
      <c r="G29" s="3" t="s">
        <v>17</v>
      </c>
      <c r="H29" s="3">
        <v>1</v>
      </c>
      <c r="I29" s="3"/>
      <c r="J29" s="1" t="s">
        <v>310</v>
      </c>
    </row>
    <row r="30" spans="1:10" x14ac:dyDescent="0.25">
      <c r="A30" s="2">
        <v>27</v>
      </c>
      <c r="B30" s="3" t="s">
        <v>345</v>
      </c>
      <c r="C30" s="104" t="s">
        <v>24</v>
      </c>
      <c r="D30" s="3" t="s">
        <v>57</v>
      </c>
      <c r="E30" s="3" t="s">
        <v>166</v>
      </c>
      <c r="F30" s="3" t="s">
        <v>334</v>
      </c>
      <c r="G30" s="3" t="s">
        <v>17</v>
      </c>
      <c r="H30" s="3">
        <v>1</v>
      </c>
      <c r="I30" s="3"/>
      <c r="J30" s="1"/>
    </row>
    <row r="31" spans="1:10" x14ac:dyDescent="0.25">
      <c r="A31" s="2">
        <v>28</v>
      </c>
      <c r="B31" s="3" t="s">
        <v>346</v>
      </c>
      <c r="C31" s="104" t="s">
        <v>24</v>
      </c>
      <c r="D31" s="3" t="s">
        <v>67</v>
      </c>
      <c r="E31" s="3" t="s">
        <v>166</v>
      </c>
      <c r="F31" s="3" t="s">
        <v>334</v>
      </c>
      <c r="G31" s="3" t="s">
        <v>17</v>
      </c>
      <c r="H31" s="3">
        <v>1</v>
      </c>
      <c r="I31" s="3"/>
      <c r="J31" s="1"/>
    </row>
    <row r="32" spans="1:10" x14ac:dyDescent="0.25">
      <c r="A32" s="2">
        <v>29</v>
      </c>
      <c r="B32" s="3" t="s">
        <v>347</v>
      </c>
      <c r="C32" s="104" t="s">
        <v>24</v>
      </c>
      <c r="D32" s="3" t="s">
        <v>325</v>
      </c>
      <c r="E32" s="3" t="s">
        <v>309</v>
      </c>
      <c r="F32" s="3" t="s">
        <v>334</v>
      </c>
      <c r="G32" s="3" t="s">
        <v>17</v>
      </c>
      <c r="H32" s="3">
        <v>1</v>
      </c>
      <c r="I32" s="3"/>
      <c r="J32" s="1"/>
    </row>
    <row r="33" spans="1:10" x14ac:dyDescent="0.25">
      <c r="A33" s="105">
        <v>30</v>
      </c>
      <c r="B33" s="54" t="s">
        <v>348</v>
      </c>
      <c r="C33" s="106" t="s">
        <v>24</v>
      </c>
      <c r="D33" s="54" t="s">
        <v>57</v>
      </c>
      <c r="E33" s="54" t="s">
        <v>147</v>
      </c>
      <c r="F33" s="54" t="s">
        <v>334</v>
      </c>
      <c r="G33" s="54" t="s">
        <v>18</v>
      </c>
      <c r="H33" s="54">
        <v>1</v>
      </c>
      <c r="I33" s="54"/>
      <c r="J33" s="62" t="s">
        <v>310</v>
      </c>
    </row>
    <row r="34" spans="1:10" x14ac:dyDescent="0.25">
      <c r="A34" s="105">
        <v>31</v>
      </c>
      <c r="B34" s="54" t="s">
        <v>349</v>
      </c>
      <c r="C34" s="106" t="s">
        <v>24</v>
      </c>
      <c r="D34" s="54" t="s">
        <v>325</v>
      </c>
      <c r="E34" s="54" t="s">
        <v>34</v>
      </c>
      <c r="F34" s="54" t="s">
        <v>334</v>
      </c>
      <c r="G34" s="54" t="s">
        <v>18</v>
      </c>
      <c r="H34" s="54">
        <v>1</v>
      </c>
      <c r="I34" s="54"/>
      <c r="J34" s="62"/>
    </row>
    <row r="35" spans="1:10" x14ac:dyDescent="0.25">
      <c r="A35" s="105">
        <v>32</v>
      </c>
      <c r="B35" s="54" t="s">
        <v>350</v>
      </c>
      <c r="C35" s="106" t="s">
        <v>24</v>
      </c>
      <c r="D35" s="54" t="s">
        <v>360</v>
      </c>
      <c r="E35" s="54" t="s">
        <v>166</v>
      </c>
      <c r="F35" s="54" t="s">
        <v>334</v>
      </c>
      <c r="G35" s="54" t="s">
        <v>18</v>
      </c>
      <c r="H35" s="54">
        <v>1</v>
      </c>
      <c r="I35" s="54"/>
      <c r="J35" s="62" t="s">
        <v>310</v>
      </c>
    </row>
    <row r="36" spans="1:10" x14ac:dyDescent="0.25">
      <c r="A36" s="105">
        <v>33</v>
      </c>
      <c r="B36" s="54" t="s">
        <v>351</v>
      </c>
      <c r="C36" s="106" t="s">
        <v>24</v>
      </c>
      <c r="D36" s="63">
        <v>12</v>
      </c>
      <c r="E36" s="54"/>
      <c r="F36" s="54" t="s">
        <v>334</v>
      </c>
      <c r="G36" s="54" t="s">
        <v>18</v>
      </c>
      <c r="H36" s="54">
        <v>1</v>
      </c>
      <c r="I36" s="54"/>
      <c r="J36" s="62" t="s">
        <v>310</v>
      </c>
    </row>
    <row r="37" spans="1:10" x14ac:dyDescent="0.25">
      <c r="A37" s="2">
        <v>34</v>
      </c>
      <c r="B37" s="68" t="s">
        <v>352</v>
      </c>
      <c r="C37" s="108" t="s">
        <v>24</v>
      </c>
      <c r="D37" s="112">
        <v>11</v>
      </c>
      <c r="E37" s="68"/>
      <c r="F37" s="68" t="s">
        <v>353</v>
      </c>
      <c r="G37" s="68" t="s">
        <v>312</v>
      </c>
      <c r="H37" s="68">
        <v>1</v>
      </c>
      <c r="I37" s="68"/>
      <c r="J37" s="109"/>
    </row>
    <row r="38" spans="1:10" x14ac:dyDescent="0.25">
      <c r="A38" s="2">
        <v>35</v>
      </c>
      <c r="B38" s="3" t="s">
        <v>354</v>
      </c>
      <c r="C38" s="104" t="s">
        <v>24</v>
      </c>
      <c r="D38" s="61">
        <v>10</v>
      </c>
      <c r="E38" s="3"/>
      <c r="F38" s="68" t="s">
        <v>353</v>
      </c>
      <c r="G38" s="68" t="s">
        <v>312</v>
      </c>
      <c r="H38" s="3">
        <v>1</v>
      </c>
      <c r="I38" s="3"/>
      <c r="J38" s="1"/>
    </row>
    <row r="39" spans="1:10" x14ac:dyDescent="0.25">
      <c r="A39" s="2">
        <v>36</v>
      </c>
      <c r="B39" s="3" t="s">
        <v>355</v>
      </c>
      <c r="C39" s="104" t="s">
        <v>24</v>
      </c>
      <c r="D39" s="61">
        <v>12</v>
      </c>
      <c r="E39" s="3"/>
      <c r="F39" s="68" t="s">
        <v>353</v>
      </c>
      <c r="G39" s="68" t="s">
        <v>312</v>
      </c>
      <c r="H39" s="3">
        <v>1</v>
      </c>
      <c r="I39" s="3"/>
      <c r="J39" s="1"/>
    </row>
    <row r="40" spans="1:10" x14ac:dyDescent="0.25">
      <c r="A40" s="2">
        <v>37</v>
      </c>
      <c r="B40" s="3" t="s">
        <v>270</v>
      </c>
      <c r="C40" s="104" t="s">
        <v>24</v>
      </c>
      <c r="D40" s="61">
        <v>8</v>
      </c>
      <c r="E40" s="3"/>
      <c r="F40" s="68" t="s">
        <v>353</v>
      </c>
      <c r="G40" s="68" t="s">
        <v>312</v>
      </c>
      <c r="H40" s="3">
        <v>1</v>
      </c>
      <c r="I40" s="3"/>
      <c r="J40" s="1"/>
    </row>
    <row r="41" spans="1:10" x14ac:dyDescent="0.25">
      <c r="A41" s="2">
        <v>38</v>
      </c>
      <c r="B41" s="3" t="s">
        <v>356</v>
      </c>
      <c r="C41" s="104" t="s">
        <v>24</v>
      </c>
      <c r="D41" s="61">
        <v>8</v>
      </c>
      <c r="E41" s="3"/>
      <c r="F41" s="68" t="s">
        <v>353</v>
      </c>
      <c r="G41" s="68" t="s">
        <v>312</v>
      </c>
      <c r="H41" s="3">
        <v>1</v>
      </c>
      <c r="I41" s="3"/>
      <c r="J41" s="1"/>
    </row>
    <row r="42" spans="1:10" x14ac:dyDescent="0.25">
      <c r="A42" s="2">
        <v>39</v>
      </c>
      <c r="B42" s="3" t="s">
        <v>357</v>
      </c>
      <c r="C42" s="104" t="s">
        <v>24</v>
      </c>
      <c r="D42" s="61">
        <v>8</v>
      </c>
      <c r="E42" s="3"/>
      <c r="F42" s="68" t="s">
        <v>353</v>
      </c>
      <c r="G42" s="68" t="s">
        <v>312</v>
      </c>
      <c r="H42" s="3">
        <v>1</v>
      </c>
      <c r="I42" s="3"/>
      <c r="J42" s="1"/>
    </row>
    <row r="43" spans="1:10" ht="15.75" thickBot="1" x14ac:dyDescent="0.3">
      <c r="A43" s="102">
        <v>40</v>
      </c>
      <c r="B43" s="110" t="s">
        <v>358</v>
      </c>
      <c r="C43" s="114" t="s">
        <v>24</v>
      </c>
      <c r="D43" s="113">
        <v>10</v>
      </c>
      <c r="E43" s="4"/>
      <c r="F43" s="111" t="s">
        <v>353</v>
      </c>
      <c r="G43" s="111" t="s">
        <v>312</v>
      </c>
      <c r="H43" s="4">
        <v>1</v>
      </c>
      <c r="I43" s="4"/>
      <c r="J43" s="5"/>
    </row>
    <row r="44" spans="1:10" ht="15.75" thickTop="1" x14ac:dyDescent="0.25"/>
  </sheetData>
  <mergeCells count="5">
    <mergeCell ref="A1:J1"/>
    <mergeCell ref="A2:A3"/>
    <mergeCell ref="B2:B3"/>
    <mergeCell ref="C2:C3"/>
    <mergeCell ref="D2:D3"/>
  </mergeCells>
  <pageMargins left="0.7" right="0.7" top="0.75" bottom="0.75" header="0.3" footer="0.3"/>
  <pageSetup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primary teachers</vt:lpstr>
      <vt:lpstr>supportive</vt:lpstr>
      <vt:lpstr>students</vt:lpstr>
      <vt:lpstr>period</vt:lpstr>
      <vt:lpstr>management</vt:lpstr>
      <vt:lpstr>kG staff</vt:lpstr>
      <vt:lpstr>'kG staff'!Print_Area</vt:lpstr>
      <vt:lpstr>management!Print_Area</vt:lpstr>
      <vt:lpstr>'primary teachers'!Print_Area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AGBMS</dc:creator>
  <cp:lastModifiedBy>AGBMS</cp:lastModifiedBy>
  <dcterms:created xsi:type="dcterms:W3CDTF">2026-03-26T10:29:19Z</dcterms:created>
  <dcterms:modified xsi:type="dcterms:W3CDTF">2026-04-06T11:34:33Z</dcterms:modified>
</cp:coreProperties>
</file>