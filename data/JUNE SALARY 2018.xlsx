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ount olive\"/>
    </mc:Choice>
  </mc:AlternateContent>
  <xr:revisionPtr revIDLastSave="0" documentId="8_{D11EC113-825F-40FD-8E87-25805D609A44}" xr6:coauthVersionLast="47" xr6:coauthVersionMax="47" xr10:uidLastSave="{00000000-0000-0000-0000-000000000000}"/>
  <bookViews>
    <workbookView xWindow="-110" yWindow="-110" windowWidth="25820" windowHeight="15500" tabRatio="605" activeTab="10" xr2:uid="{00000000-000D-0000-FFFF-FFFF00000000}"/>
  </bookViews>
  <sheets>
    <sheet name="Teachers" sheetId="63" r:id="rId1"/>
    <sheet name="KG,Supporting" sheetId="64" r:id="rId2"/>
    <sheet name="SUPPORT" sheetId="65" r:id="rId3"/>
    <sheet name="KG TEACHERS" sheetId="66" r:id="rId4"/>
    <sheet name="ADMIN 1" sheetId="68" r:id="rId5"/>
    <sheet name="BANK Awshe" sheetId="69" r:id="rId6"/>
    <sheet name="Admin 2" sheetId="70" r:id="rId7"/>
    <sheet name="Sheet6" sheetId="71" r:id="rId8"/>
    <sheet name="Birhan " sheetId="75" r:id="rId9"/>
    <sheet name="Sheet1" sheetId="76" r:id="rId10"/>
    <sheet name="Sheet2" sheetId="77" r:id="rId11"/>
    <sheet name="Sheet3" sheetId="78" r:id="rId12"/>
    <sheet name="Sheet4" sheetId="79" r:id="rId13"/>
    <sheet name="Sheet5" sheetId="80" r:id="rId14"/>
    <sheet name="Sheet10" sheetId="81" r:id="rId15"/>
    <sheet name="Sheet11" sheetId="82" r:id="rId16"/>
  </sheets>
  <definedNames>
    <definedName name="_xlnm._FilterDatabase" localSheetId="5" hidden="1">'BANK Awshe'!$A$5:$D$168</definedName>
    <definedName name="_xlnm._FilterDatabase" localSheetId="2" hidden="1">SUPPORT!$A$2:$V$47</definedName>
    <definedName name="_xlnm.Print_Area" localSheetId="4">'ADMIN 1'!$A$1:$Q$27</definedName>
    <definedName name="_xlnm.Print_Area" localSheetId="6">'Admin 2'!$A$2:$W$30</definedName>
    <definedName name="_xlnm.Print_Area" localSheetId="3">'KG TEACHERS'!$A$1:$R$32</definedName>
    <definedName name="_xlnm.Print_Area" localSheetId="1">'KG,Supporting'!$A$1:$U$34</definedName>
    <definedName name="_xlnm.Print_Area" localSheetId="2">SUPPORT!$A$1:$AA$52</definedName>
    <definedName name="_xlnm.Print_Area" localSheetId="0">Teachers!$A$1:$BK$71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29" i="66" l="1"/>
  <c r="S40" i="63" l="1"/>
  <c r="M59" i="63" l="1"/>
  <c r="L59" i="63"/>
  <c r="J59" i="63"/>
  <c r="B157" i="71" l="1"/>
  <c r="C157" i="71"/>
  <c r="D157" i="71"/>
  <c r="E157" i="71"/>
  <c r="H157" i="71"/>
  <c r="I157" i="71"/>
  <c r="J157" i="71"/>
  <c r="G156" i="71"/>
  <c r="F156" i="71"/>
  <c r="K156" i="71" s="1"/>
  <c r="G155" i="71"/>
  <c r="F155" i="71"/>
  <c r="G154" i="71"/>
  <c r="F154" i="71"/>
  <c r="G153" i="71"/>
  <c r="F153" i="71"/>
  <c r="G152" i="71"/>
  <c r="F152" i="71"/>
  <c r="G151" i="71"/>
  <c r="F151" i="71"/>
  <c r="G150" i="71"/>
  <c r="F150" i="71"/>
  <c r="G149" i="71"/>
  <c r="F149" i="71"/>
  <c r="G148" i="71"/>
  <c r="F148" i="71"/>
  <c r="G147" i="71"/>
  <c r="F147" i="71"/>
  <c r="G146" i="71"/>
  <c r="F146" i="71"/>
  <c r="G145" i="71"/>
  <c r="F145" i="71"/>
  <c r="G144" i="71"/>
  <c r="F144" i="71"/>
  <c r="G143" i="71"/>
  <c r="F143" i="71"/>
  <c r="G142" i="71"/>
  <c r="F142" i="71"/>
  <c r="G141" i="71"/>
  <c r="F141" i="71"/>
  <c r="G140" i="71"/>
  <c r="F140" i="71"/>
  <c r="G139" i="71"/>
  <c r="F139" i="71"/>
  <c r="G138" i="71"/>
  <c r="F138" i="71"/>
  <c r="G137" i="71"/>
  <c r="F137" i="71"/>
  <c r="G136" i="71"/>
  <c r="F136" i="71"/>
  <c r="G135" i="71"/>
  <c r="F135" i="71"/>
  <c r="G134" i="71"/>
  <c r="F134" i="71"/>
  <c r="G133" i="71"/>
  <c r="F133" i="71"/>
  <c r="G132" i="71"/>
  <c r="F132" i="71"/>
  <c r="K132" i="71" s="1"/>
  <c r="G131" i="71"/>
  <c r="F131" i="71"/>
  <c r="G130" i="71"/>
  <c r="F130" i="71"/>
  <c r="G129" i="71"/>
  <c r="F129" i="71"/>
  <c r="G128" i="71"/>
  <c r="F128" i="71"/>
  <c r="G127" i="71"/>
  <c r="F127" i="71"/>
  <c r="G126" i="71"/>
  <c r="F126" i="71"/>
  <c r="G125" i="71"/>
  <c r="F125" i="71"/>
  <c r="G124" i="71"/>
  <c r="F124" i="71"/>
  <c r="G123" i="71"/>
  <c r="F123" i="71"/>
  <c r="G122" i="71"/>
  <c r="F122" i="71"/>
  <c r="G121" i="71"/>
  <c r="F121" i="71"/>
  <c r="G120" i="71"/>
  <c r="F120" i="71"/>
  <c r="G119" i="71"/>
  <c r="F119" i="71"/>
  <c r="G118" i="71"/>
  <c r="F118" i="71"/>
  <c r="G117" i="71"/>
  <c r="F117" i="71"/>
  <c r="G116" i="71"/>
  <c r="F116" i="71"/>
  <c r="G115" i="71"/>
  <c r="F115" i="71"/>
  <c r="G114" i="71"/>
  <c r="F114" i="71"/>
  <c r="G113" i="71"/>
  <c r="F113" i="71"/>
  <c r="G112" i="71"/>
  <c r="F112" i="71"/>
  <c r="G111" i="71"/>
  <c r="F111" i="71"/>
  <c r="G110" i="71"/>
  <c r="F110" i="71"/>
  <c r="G109" i="71"/>
  <c r="F109" i="71"/>
  <c r="G108" i="71"/>
  <c r="F108" i="71"/>
  <c r="G107" i="71"/>
  <c r="F107" i="71"/>
  <c r="G106" i="71"/>
  <c r="F106" i="71"/>
  <c r="G105" i="71"/>
  <c r="F105" i="71"/>
  <c r="G104" i="71"/>
  <c r="F104" i="71"/>
  <c r="G103" i="71"/>
  <c r="F103" i="71"/>
  <c r="G102" i="71"/>
  <c r="F102" i="71"/>
  <c r="G101" i="71"/>
  <c r="F101" i="71"/>
  <c r="G100" i="71"/>
  <c r="F100" i="71"/>
  <c r="G99" i="71"/>
  <c r="F99" i="71"/>
  <c r="G98" i="71"/>
  <c r="F98" i="71"/>
  <c r="G97" i="71"/>
  <c r="F97" i="71"/>
  <c r="G96" i="71"/>
  <c r="F96" i="71"/>
  <c r="G95" i="71"/>
  <c r="F95" i="71"/>
  <c r="G94" i="71"/>
  <c r="F94" i="71"/>
  <c r="G93" i="71"/>
  <c r="F93" i="71"/>
  <c r="G92" i="71"/>
  <c r="F92" i="71"/>
  <c r="G91" i="71"/>
  <c r="F91" i="71"/>
  <c r="G90" i="71"/>
  <c r="F90" i="71"/>
  <c r="G89" i="71"/>
  <c r="F89" i="71"/>
  <c r="G88" i="71"/>
  <c r="F88" i="71"/>
  <c r="G87" i="71"/>
  <c r="F87" i="71"/>
  <c r="G86" i="71"/>
  <c r="F86" i="71"/>
  <c r="G85" i="71"/>
  <c r="F85" i="71"/>
  <c r="G84" i="71"/>
  <c r="F84" i="71"/>
  <c r="G83" i="71"/>
  <c r="F83" i="71"/>
  <c r="G82" i="71"/>
  <c r="F82" i="71"/>
  <c r="G81" i="71"/>
  <c r="F81" i="71"/>
  <c r="G80" i="71"/>
  <c r="F80" i="71"/>
  <c r="G79" i="71"/>
  <c r="F79" i="71"/>
  <c r="G78" i="71"/>
  <c r="F78" i="71"/>
  <c r="G77" i="71"/>
  <c r="F77" i="71"/>
  <c r="G76" i="71"/>
  <c r="F76" i="71"/>
  <c r="G75" i="71"/>
  <c r="F75" i="71"/>
  <c r="G74" i="71"/>
  <c r="F74" i="71"/>
  <c r="G73" i="71"/>
  <c r="F73" i="71"/>
  <c r="G72" i="71"/>
  <c r="F72" i="71"/>
  <c r="G71" i="71"/>
  <c r="F71" i="71"/>
  <c r="G70" i="71"/>
  <c r="F70" i="71"/>
  <c r="G69" i="71"/>
  <c r="F69" i="71"/>
  <c r="K69" i="71" s="1"/>
  <c r="G68" i="71"/>
  <c r="F68" i="71"/>
  <c r="G67" i="71"/>
  <c r="F67" i="71"/>
  <c r="K67" i="71" s="1"/>
  <c r="G66" i="71"/>
  <c r="F66" i="71"/>
  <c r="K66" i="71" s="1"/>
  <c r="G65" i="71"/>
  <c r="F65" i="71"/>
  <c r="G64" i="71"/>
  <c r="F64" i="71"/>
  <c r="G63" i="71"/>
  <c r="F63" i="71"/>
  <c r="G62" i="71"/>
  <c r="F62" i="71"/>
  <c r="G61" i="71"/>
  <c r="F61" i="71"/>
  <c r="K61" i="71" s="1"/>
  <c r="G60" i="71"/>
  <c r="F60" i="71"/>
  <c r="G59" i="71"/>
  <c r="F59" i="71"/>
  <c r="K59" i="71" s="1"/>
  <c r="G58" i="71"/>
  <c r="F58" i="71"/>
  <c r="K58" i="71" s="1"/>
  <c r="G57" i="71"/>
  <c r="F57" i="71"/>
  <c r="K57" i="71" s="1"/>
  <c r="G56" i="71"/>
  <c r="F56" i="71"/>
  <c r="G55" i="71"/>
  <c r="F55" i="71"/>
  <c r="G54" i="71"/>
  <c r="F54" i="71"/>
  <c r="G53" i="71"/>
  <c r="F53" i="71"/>
  <c r="K53" i="71" s="1"/>
  <c r="G52" i="71"/>
  <c r="F52" i="71"/>
  <c r="G51" i="71"/>
  <c r="F51" i="71"/>
  <c r="G50" i="71"/>
  <c r="F50" i="71"/>
  <c r="G49" i="71"/>
  <c r="F49" i="71"/>
  <c r="G48" i="71"/>
  <c r="F48" i="71"/>
  <c r="G47" i="71"/>
  <c r="F47" i="71"/>
  <c r="G46" i="71"/>
  <c r="F46" i="71"/>
  <c r="G45" i="71"/>
  <c r="F45" i="71"/>
  <c r="G44" i="71"/>
  <c r="F44" i="71"/>
  <c r="G43" i="71"/>
  <c r="F43" i="71"/>
  <c r="G42" i="71"/>
  <c r="F42" i="71"/>
  <c r="G41" i="71"/>
  <c r="F41" i="71"/>
  <c r="G40" i="71"/>
  <c r="F40" i="71"/>
  <c r="G39" i="71"/>
  <c r="F39" i="71"/>
  <c r="G38" i="71"/>
  <c r="F38" i="71"/>
  <c r="G37" i="71"/>
  <c r="F37" i="71"/>
  <c r="K37" i="71" s="1"/>
  <c r="G36" i="71"/>
  <c r="F36" i="71"/>
  <c r="G35" i="71"/>
  <c r="F35" i="71"/>
  <c r="K35" i="71" s="1"/>
  <c r="G34" i="71"/>
  <c r="F34" i="71"/>
  <c r="K34" i="71" s="1"/>
  <c r="G33" i="71"/>
  <c r="F33" i="71"/>
  <c r="G32" i="71"/>
  <c r="F32" i="71"/>
  <c r="G31" i="71"/>
  <c r="F31" i="71"/>
  <c r="G30" i="71"/>
  <c r="F30" i="71"/>
  <c r="G29" i="71"/>
  <c r="F29" i="71"/>
  <c r="K29" i="71" s="1"/>
  <c r="G28" i="71"/>
  <c r="F28" i="71"/>
  <c r="G27" i="71"/>
  <c r="F27" i="71"/>
  <c r="K27" i="71" s="1"/>
  <c r="G26" i="71"/>
  <c r="F26" i="71"/>
  <c r="K26" i="71" s="1"/>
  <c r="G25" i="71"/>
  <c r="F25" i="71"/>
  <c r="K25" i="71" s="1"/>
  <c r="G24" i="71"/>
  <c r="F24" i="71"/>
  <c r="G23" i="71"/>
  <c r="F23" i="71"/>
  <c r="G22" i="71"/>
  <c r="F22" i="71"/>
  <c r="G21" i="71"/>
  <c r="F21" i="71"/>
  <c r="G20" i="71"/>
  <c r="F20" i="71"/>
  <c r="G19" i="71"/>
  <c r="F19" i="71"/>
  <c r="G18" i="71"/>
  <c r="F18" i="71"/>
  <c r="G17" i="71"/>
  <c r="F17" i="71"/>
  <c r="G16" i="71"/>
  <c r="F16" i="71"/>
  <c r="G15" i="71"/>
  <c r="F15" i="71"/>
  <c r="G14" i="71"/>
  <c r="F14" i="71"/>
  <c r="G13" i="71"/>
  <c r="F13" i="71"/>
  <c r="G12" i="71"/>
  <c r="F12" i="71"/>
  <c r="G11" i="71"/>
  <c r="F11" i="71"/>
  <c r="G10" i="71"/>
  <c r="F10" i="71"/>
  <c r="G9" i="71"/>
  <c r="F9" i="71"/>
  <c r="G8" i="71"/>
  <c r="F8" i="71"/>
  <c r="G7" i="71"/>
  <c r="F7" i="71"/>
  <c r="G6" i="71"/>
  <c r="F6" i="71"/>
  <c r="G5" i="71"/>
  <c r="F5" i="71"/>
  <c r="K5" i="71" s="1"/>
  <c r="G4" i="71"/>
  <c r="G157" i="71" s="1"/>
  <c r="F4" i="71"/>
  <c r="F157" i="71" s="1"/>
  <c r="K143" i="71" l="1"/>
  <c r="K79" i="71"/>
  <c r="K103" i="71"/>
  <c r="K111" i="71"/>
  <c r="K72" i="71"/>
  <c r="K80" i="71"/>
  <c r="K112" i="71"/>
  <c r="K144" i="71"/>
  <c r="K153" i="71"/>
  <c r="K155" i="71"/>
  <c r="K148" i="71"/>
  <c r="K152" i="71"/>
  <c r="K154" i="71"/>
  <c r="K120" i="71"/>
  <c r="K122" i="71"/>
  <c r="K124" i="71"/>
  <c r="K130" i="71"/>
  <c r="K135" i="71"/>
  <c r="K121" i="71"/>
  <c r="K129" i="71"/>
  <c r="K84" i="71"/>
  <c r="K88" i="71"/>
  <c r="K90" i="71"/>
  <c r="K92" i="71"/>
  <c r="K98" i="71"/>
  <c r="K100" i="71"/>
  <c r="K116" i="71"/>
  <c r="K89" i="71"/>
  <c r="K97" i="71"/>
  <c r="K8" i="71"/>
  <c r="K16" i="71"/>
  <c r="K40" i="71"/>
  <c r="K48" i="71"/>
  <c r="K82" i="71"/>
  <c r="K87" i="71"/>
  <c r="K95" i="71"/>
  <c r="K105" i="71"/>
  <c r="K113" i="71"/>
  <c r="K128" i="71"/>
  <c r="K136" i="71"/>
  <c r="K138" i="71"/>
  <c r="K140" i="71"/>
  <c r="K146" i="71"/>
  <c r="K151" i="71"/>
  <c r="K21" i="71"/>
  <c r="K49" i="71"/>
  <c r="K81" i="71"/>
  <c r="K96" i="71"/>
  <c r="K104" i="71"/>
  <c r="K106" i="71"/>
  <c r="K108" i="71"/>
  <c r="K114" i="71"/>
  <c r="K119" i="71"/>
  <c r="K127" i="71"/>
  <c r="K137" i="71"/>
  <c r="K145" i="71"/>
  <c r="K65" i="71"/>
  <c r="K73" i="71"/>
  <c r="K75" i="71"/>
  <c r="K56" i="71"/>
  <c r="K64" i="71"/>
  <c r="K74" i="71"/>
  <c r="K9" i="71"/>
  <c r="K11" i="71"/>
  <c r="K13" i="71"/>
  <c r="K17" i="71"/>
  <c r="K19" i="71"/>
  <c r="K24" i="71"/>
  <c r="K32" i="71"/>
  <c r="K42" i="71"/>
  <c r="K50" i="71"/>
  <c r="K10" i="71"/>
  <c r="K18" i="71"/>
  <c r="K33" i="71"/>
  <c r="K41" i="71"/>
  <c r="K43" i="71"/>
  <c r="K45" i="71"/>
  <c r="K51" i="71"/>
  <c r="K7" i="71"/>
  <c r="K12" i="71"/>
  <c r="K14" i="71"/>
  <c r="K23" i="71"/>
  <c r="K28" i="71"/>
  <c r="K30" i="71"/>
  <c r="K39" i="71"/>
  <c r="K44" i="71"/>
  <c r="K46" i="71"/>
  <c r="K55" i="71"/>
  <c r="K60" i="71"/>
  <c r="K62" i="71"/>
  <c r="K71" i="71"/>
  <c r="K76" i="71"/>
  <c r="K77" i="71"/>
  <c r="K86" i="71"/>
  <c r="K91" i="71"/>
  <c r="K93" i="71"/>
  <c r="K102" i="71"/>
  <c r="K107" i="71"/>
  <c r="K109" i="71"/>
  <c r="K118" i="71"/>
  <c r="K123" i="71"/>
  <c r="K125" i="71"/>
  <c r="K134" i="71"/>
  <c r="K139" i="71"/>
  <c r="K141" i="71"/>
  <c r="K150" i="71"/>
  <c r="K6" i="71"/>
  <c r="K15" i="71"/>
  <c r="K20" i="71"/>
  <c r="K22" i="71"/>
  <c r="K31" i="71"/>
  <c r="K36" i="71"/>
  <c r="K38" i="71"/>
  <c r="K47" i="71"/>
  <c r="K52" i="71"/>
  <c r="K54" i="71"/>
  <c r="K63" i="71"/>
  <c r="K68" i="71"/>
  <c r="K70" i="71"/>
  <c r="K78" i="71"/>
  <c r="K83" i="71"/>
  <c r="K85" i="71"/>
  <c r="K94" i="71"/>
  <c r="K99" i="71"/>
  <c r="K101" i="71"/>
  <c r="K110" i="71"/>
  <c r="K115" i="71"/>
  <c r="K117" i="71"/>
  <c r="K126" i="71"/>
  <c r="K131" i="71"/>
  <c r="K133" i="71"/>
  <c r="K142" i="71"/>
  <c r="K147" i="71"/>
  <c r="K149" i="71"/>
  <c r="K4" i="71"/>
  <c r="N30" i="64"/>
  <c r="K157" i="71" l="1"/>
  <c r="N46" i="65" l="1"/>
  <c r="T59" i="63"/>
  <c r="P46" i="65" l="1"/>
  <c r="S59" i="63"/>
  <c r="G7" i="63"/>
  <c r="B157" i="80" l="1"/>
  <c r="C157" i="80"/>
  <c r="D157" i="80"/>
  <c r="E157" i="80"/>
  <c r="H157" i="80"/>
  <c r="I157" i="80"/>
  <c r="J157" i="80"/>
  <c r="K144" i="80"/>
  <c r="K148" i="80"/>
  <c r="K152" i="80"/>
  <c r="G140" i="80"/>
  <c r="G141" i="80"/>
  <c r="G142" i="80"/>
  <c r="G143" i="80"/>
  <c r="G144" i="80"/>
  <c r="G145" i="80"/>
  <c r="G146" i="80"/>
  <c r="G147" i="80"/>
  <c r="G148" i="80"/>
  <c r="G149" i="80"/>
  <c r="G150" i="80"/>
  <c r="G151" i="80"/>
  <c r="G152" i="80"/>
  <c r="G153" i="80"/>
  <c r="G154" i="80"/>
  <c r="G155" i="80"/>
  <c r="G156" i="80"/>
  <c r="F140" i="80"/>
  <c r="K140" i="80" s="1"/>
  <c r="F141" i="80"/>
  <c r="F142" i="80"/>
  <c r="K142" i="80" s="1"/>
  <c r="F143" i="80"/>
  <c r="K143" i="80" s="1"/>
  <c r="F144" i="80"/>
  <c r="F145" i="80"/>
  <c r="K145" i="80" s="1"/>
  <c r="F146" i="80"/>
  <c r="K146" i="80" s="1"/>
  <c r="F147" i="80"/>
  <c r="K147" i="80" s="1"/>
  <c r="F148" i="80"/>
  <c r="F149" i="80"/>
  <c r="K149" i="80" s="1"/>
  <c r="F150" i="80"/>
  <c r="K150" i="80" s="1"/>
  <c r="F151" i="80"/>
  <c r="K151" i="80" s="1"/>
  <c r="F152" i="80"/>
  <c r="F153" i="80"/>
  <c r="K153" i="80" s="1"/>
  <c r="F154" i="80"/>
  <c r="K154" i="80" s="1"/>
  <c r="F155" i="80"/>
  <c r="K155" i="80" s="1"/>
  <c r="F156" i="80"/>
  <c r="K156" i="80" s="1"/>
  <c r="G118" i="80"/>
  <c r="G119" i="80"/>
  <c r="G120" i="80"/>
  <c r="G121" i="80"/>
  <c r="G122" i="80"/>
  <c r="G123" i="80"/>
  <c r="G124" i="80"/>
  <c r="G125" i="80"/>
  <c r="G126" i="80"/>
  <c r="G127" i="80"/>
  <c r="G128" i="80"/>
  <c r="G129" i="80"/>
  <c r="G130" i="80"/>
  <c r="G131" i="80"/>
  <c r="G132" i="80"/>
  <c r="G133" i="80"/>
  <c r="G134" i="80"/>
  <c r="G135" i="80"/>
  <c r="G136" i="80"/>
  <c r="G137" i="80"/>
  <c r="G138" i="80"/>
  <c r="G139" i="80"/>
  <c r="F118" i="80"/>
  <c r="K118" i="80" s="1"/>
  <c r="F119" i="80"/>
  <c r="K119" i="80" s="1"/>
  <c r="F120" i="80"/>
  <c r="K120" i="80" s="1"/>
  <c r="F121" i="80"/>
  <c r="K121" i="80" s="1"/>
  <c r="F122" i="80"/>
  <c r="K122" i="80" s="1"/>
  <c r="F123" i="80"/>
  <c r="K123" i="80" s="1"/>
  <c r="F124" i="80"/>
  <c r="K124" i="80" s="1"/>
  <c r="F125" i="80"/>
  <c r="K125" i="80" s="1"/>
  <c r="F126" i="80"/>
  <c r="K126" i="80" s="1"/>
  <c r="F127" i="80"/>
  <c r="K127" i="80" s="1"/>
  <c r="F128" i="80"/>
  <c r="F129" i="80"/>
  <c r="F130" i="80"/>
  <c r="F131" i="80"/>
  <c r="F132" i="80"/>
  <c r="F133" i="80"/>
  <c r="F134" i="80"/>
  <c r="K134" i="80" s="1"/>
  <c r="F135" i="80"/>
  <c r="K135" i="80" s="1"/>
  <c r="F136" i="80"/>
  <c r="K136" i="80" s="1"/>
  <c r="F137" i="80"/>
  <c r="K137" i="80" s="1"/>
  <c r="F138" i="80"/>
  <c r="K138" i="80" s="1"/>
  <c r="F139" i="80"/>
  <c r="K139" i="80" s="1"/>
  <c r="K86" i="80"/>
  <c r="K90" i="80"/>
  <c r="K94" i="80"/>
  <c r="G79" i="80"/>
  <c r="G80" i="80"/>
  <c r="G81" i="80"/>
  <c r="G82" i="80"/>
  <c r="G83" i="80"/>
  <c r="G84" i="80"/>
  <c r="G85" i="80"/>
  <c r="G86" i="80"/>
  <c r="G87" i="80"/>
  <c r="G88" i="80"/>
  <c r="G89" i="80"/>
  <c r="G90" i="80"/>
  <c r="G91" i="80"/>
  <c r="G92" i="80"/>
  <c r="G93" i="80"/>
  <c r="G94" i="80"/>
  <c r="G95" i="80"/>
  <c r="G96" i="80"/>
  <c r="G97" i="80"/>
  <c r="G98" i="80"/>
  <c r="G99" i="80"/>
  <c r="G100" i="80"/>
  <c r="G101" i="80"/>
  <c r="G102" i="80"/>
  <c r="G103" i="80"/>
  <c r="G104" i="80"/>
  <c r="G105" i="80"/>
  <c r="G106" i="80"/>
  <c r="G107" i="80"/>
  <c r="G108" i="80"/>
  <c r="G109" i="80"/>
  <c r="G110" i="80"/>
  <c r="G111" i="80"/>
  <c r="G112" i="80"/>
  <c r="G113" i="80"/>
  <c r="G114" i="80"/>
  <c r="G115" i="80"/>
  <c r="G116" i="80"/>
  <c r="G117" i="80"/>
  <c r="F79" i="80"/>
  <c r="K79" i="80" s="1"/>
  <c r="F80" i="80"/>
  <c r="K80" i="80" s="1"/>
  <c r="F81" i="80"/>
  <c r="K81" i="80" s="1"/>
  <c r="F82" i="80"/>
  <c r="K82" i="80" s="1"/>
  <c r="F83" i="80"/>
  <c r="F84" i="80"/>
  <c r="F85" i="80"/>
  <c r="F86" i="80"/>
  <c r="F87" i="80"/>
  <c r="F88" i="80"/>
  <c r="F89" i="80"/>
  <c r="F90" i="80"/>
  <c r="F91" i="80"/>
  <c r="K91" i="80" s="1"/>
  <c r="F92" i="80"/>
  <c r="K92" i="80" s="1"/>
  <c r="F93" i="80"/>
  <c r="K93" i="80" s="1"/>
  <c r="F94" i="80"/>
  <c r="F95" i="80"/>
  <c r="K95" i="80" s="1"/>
  <c r="F96" i="80"/>
  <c r="K96" i="80" s="1"/>
  <c r="F97" i="80"/>
  <c r="K97" i="80" s="1"/>
  <c r="F98" i="80"/>
  <c r="K98" i="80" s="1"/>
  <c r="F99" i="80"/>
  <c r="F100" i="80"/>
  <c r="F101" i="80"/>
  <c r="F102" i="80"/>
  <c r="K102" i="80" s="1"/>
  <c r="F103" i="80"/>
  <c r="F104" i="80"/>
  <c r="F105" i="80"/>
  <c r="F106" i="80"/>
  <c r="K106" i="80" s="1"/>
  <c r="F107" i="80"/>
  <c r="K107" i="80" s="1"/>
  <c r="F108" i="80"/>
  <c r="K108" i="80" s="1"/>
  <c r="F109" i="80"/>
  <c r="K109" i="80" s="1"/>
  <c r="F110" i="80"/>
  <c r="K110" i="80" s="1"/>
  <c r="F111" i="80"/>
  <c r="K111" i="80" s="1"/>
  <c r="F112" i="80"/>
  <c r="K112" i="80" s="1"/>
  <c r="F113" i="80"/>
  <c r="K113" i="80" s="1"/>
  <c r="F114" i="80"/>
  <c r="K114" i="80" s="1"/>
  <c r="F115" i="80"/>
  <c r="F116" i="80"/>
  <c r="F117" i="80"/>
  <c r="G56" i="80"/>
  <c r="G57" i="80"/>
  <c r="K57" i="80" s="1"/>
  <c r="G58" i="80"/>
  <c r="G59" i="80"/>
  <c r="G60" i="80"/>
  <c r="G61" i="80"/>
  <c r="G62" i="80"/>
  <c r="G63" i="80"/>
  <c r="G64" i="80"/>
  <c r="G65" i="80"/>
  <c r="G66" i="80"/>
  <c r="G67" i="80"/>
  <c r="G68" i="80"/>
  <c r="G69" i="80"/>
  <c r="G70" i="80"/>
  <c r="G71" i="80"/>
  <c r="G72" i="80"/>
  <c r="G73" i="80"/>
  <c r="K73" i="80" s="1"/>
  <c r="G74" i="80"/>
  <c r="G75" i="80"/>
  <c r="G76" i="80"/>
  <c r="G77" i="80"/>
  <c r="K77" i="80" s="1"/>
  <c r="G78" i="80"/>
  <c r="F56" i="80"/>
  <c r="F57" i="80"/>
  <c r="F58" i="80"/>
  <c r="F59" i="80"/>
  <c r="F60" i="80"/>
  <c r="F61" i="80"/>
  <c r="K61" i="80" s="1"/>
  <c r="F62" i="80"/>
  <c r="F63" i="80"/>
  <c r="K63" i="80" s="1"/>
  <c r="F64" i="80"/>
  <c r="K64" i="80" s="1"/>
  <c r="F65" i="80"/>
  <c r="K65" i="80" s="1"/>
  <c r="F66" i="80"/>
  <c r="K66" i="80" s="1"/>
  <c r="F67" i="80"/>
  <c r="K67" i="80" s="1"/>
  <c r="F68" i="80"/>
  <c r="K68" i="80" s="1"/>
  <c r="F69" i="80"/>
  <c r="K69" i="80" s="1"/>
  <c r="F70" i="80"/>
  <c r="K70" i="80" s="1"/>
  <c r="F71" i="80"/>
  <c r="K71" i="80" s="1"/>
  <c r="F72" i="80"/>
  <c r="F73" i="80"/>
  <c r="F74" i="80"/>
  <c r="F75" i="80"/>
  <c r="F76" i="80"/>
  <c r="F77" i="80"/>
  <c r="F78" i="80"/>
  <c r="G10" i="80"/>
  <c r="G11" i="80"/>
  <c r="G12" i="80"/>
  <c r="G13" i="80"/>
  <c r="G14" i="80"/>
  <c r="G15" i="80"/>
  <c r="G16" i="80"/>
  <c r="G17" i="80"/>
  <c r="G18" i="80"/>
  <c r="G19" i="80"/>
  <c r="G20" i="80"/>
  <c r="G21" i="80"/>
  <c r="G22" i="80"/>
  <c r="G23" i="80"/>
  <c r="G24" i="80"/>
  <c r="G25" i="80"/>
  <c r="G26" i="80"/>
  <c r="G27" i="80"/>
  <c r="G28" i="80"/>
  <c r="G29" i="80"/>
  <c r="G30" i="80"/>
  <c r="G31" i="80"/>
  <c r="G32" i="80"/>
  <c r="G33" i="80"/>
  <c r="G34" i="80"/>
  <c r="G35" i="80"/>
  <c r="G36" i="80"/>
  <c r="G37" i="80"/>
  <c r="G38" i="80"/>
  <c r="G39" i="80"/>
  <c r="G40" i="80"/>
  <c r="G41" i="80"/>
  <c r="G42" i="80"/>
  <c r="G43" i="80"/>
  <c r="G44" i="80"/>
  <c r="G45" i="80"/>
  <c r="G46" i="80"/>
  <c r="G47" i="80"/>
  <c r="G48" i="80"/>
  <c r="G49" i="80"/>
  <c r="G50" i="80"/>
  <c r="G51" i="80"/>
  <c r="G52" i="80"/>
  <c r="G53" i="80"/>
  <c r="G54" i="80"/>
  <c r="G55" i="80"/>
  <c r="G6" i="80"/>
  <c r="G7" i="80"/>
  <c r="G8" i="80"/>
  <c r="G9" i="80"/>
  <c r="G5" i="80"/>
  <c r="F28" i="80"/>
  <c r="K28" i="80" s="1"/>
  <c r="F29" i="80"/>
  <c r="K29" i="80" s="1"/>
  <c r="F30" i="80"/>
  <c r="K30" i="80" s="1"/>
  <c r="F31" i="80"/>
  <c r="K31" i="80" s="1"/>
  <c r="F32" i="80"/>
  <c r="K32" i="80" s="1"/>
  <c r="F33" i="80"/>
  <c r="K33" i="80" s="1"/>
  <c r="F34" i="80"/>
  <c r="F35" i="80"/>
  <c r="K35" i="80" s="1"/>
  <c r="F36" i="80"/>
  <c r="K36" i="80" s="1"/>
  <c r="F37" i="80"/>
  <c r="K37" i="80" s="1"/>
  <c r="F38" i="80"/>
  <c r="K38" i="80" s="1"/>
  <c r="F39" i="80"/>
  <c r="K39" i="80" s="1"/>
  <c r="F40" i="80"/>
  <c r="K40" i="80" s="1"/>
  <c r="F41" i="80"/>
  <c r="K41" i="80" s="1"/>
  <c r="F42" i="80"/>
  <c r="K42" i="80" s="1"/>
  <c r="F43" i="80"/>
  <c r="K43" i="80" s="1"/>
  <c r="F44" i="80"/>
  <c r="K44" i="80" s="1"/>
  <c r="F45" i="80"/>
  <c r="K45" i="80" s="1"/>
  <c r="F46" i="80"/>
  <c r="K46" i="80" s="1"/>
  <c r="F47" i="80"/>
  <c r="K47" i="80" s="1"/>
  <c r="F48" i="80"/>
  <c r="K48" i="80" s="1"/>
  <c r="F49" i="80"/>
  <c r="K49" i="80" s="1"/>
  <c r="F50" i="80"/>
  <c r="F51" i="80"/>
  <c r="K51" i="80" s="1"/>
  <c r="F52" i="80"/>
  <c r="K52" i="80" s="1"/>
  <c r="F53" i="80"/>
  <c r="K53" i="80" s="1"/>
  <c r="F54" i="80"/>
  <c r="K54" i="80" s="1"/>
  <c r="F55" i="80"/>
  <c r="K55" i="80" s="1"/>
  <c r="F5" i="80"/>
  <c r="F6" i="80"/>
  <c r="K6" i="80" s="1"/>
  <c r="F7" i="80"/>
  <c r="K7" i="80" s="1"/>
  <c r="F8" i="80"/>
  <c r="K8" i="80" s="1"/>
  <c r="F9" i="80"/>
  <c r="K9" i="80" s="1"/>
  <c r="F10" i="80"/>
  <c r="K10" i="80" s="1"/>
  <c r="F11" i="80"/>
  <c r="K11" i="80" s="1"/>
  <c r="F12" i="80"/>
  <c r="K12" i="80" s="1"/>
  <c r="F13" i="80"/>
  <c r="K13" i="80" s="1"/>
  <c r="F14" i="80"/>
  <c r="K14" i="80" s="1"/>
  <c r="F15" i="80"/>
  <c r="F16" i="80"/>
  <c r="F17" i="80"/>
  <c r="F18" i="80"/>
  <c r="F19" i="80"/>
  <c r="K19" i="80" s="1"/>
  <c r="F20" i="80"/>
  <c r="K20" i="80" s="1"/>
  <c r="F21" i="80"/>
  <c r="K21" i="80" s="1"/>
  <c r="F22" i="80"/>
  <c r="K22" i="80" s="1"/>
  <c r="F23" i="80"/>
  <c r="K23" i="80" s="1"/>
  <c r="F24" i="80"/>
  <c r="K24" i="80" s="1"/>
  <c r="F25" i="80"/>
  <c r="K25" i="80" s="1"/>
  <c r="F26" i="80"/>
  <c r="K26" i="80" s="1"/>
  <c r="F27" i="80"/>
  <c r="K27" i="80" s="1"/>
  <c r="G4" i="80"/>
  <c r="G157" i="80" s="1"/>
  <c r="F4" i="80"/>
  <c r="K4" i="80" s="1"/>
  <c r="M7" i="66"/>
  <c r="K5" i="80" l="1"/>
  <c r="K157" i="80" s="1"/>
  <c r="K78" i="80"/>
  <c r="K62" i="80"/>
  <c r="K105" i="80"/>
  <c r="K89" i="80"/>
  <c r="K104" i="80"/>
  <c r="K88" i="80"/>
  <c r="K133" i="80"/>
  <c r="K76" i="80"/>
  <c r="K60" i="80"/>
  <c r="K103" i="80"/>
  <c r="K87" i="80"/>
  <c r="K132" i="80"/>
  <c r="F157" i="80"/>
  <c r="K18" i="80"/>
  <c r="K75" i="80"/>
  <c r="K59" i="80"/>
  <c r="K131" i="80"/>
  <c r="K17" i="80"/>
  <c r="K74" i="80"/>
  <c r="K58" i="80"/>
  <c r="K117" i="80"/>
  <c r="K101" i="80"/>
  <c r="K85" i="80"/>
  <c r="K130" i="80"/>
  <c r="K16" i="80"/>
  <c r="K116" i="80"/>
  <c r="K100" i="80"/>
  <c r="K84" i="80"/>
  <c r="K129" i="80"/>
  <c r="K15" i="80"/>
  <c r="K50" i="80"/>
  <c r="K34" i="80"/>
  <c r="K72" i="80"/>
  <c r="K56" i="80"/>
  <c r="K115" i="80"/>
  <c r="K99" i="80"/>
  <c r="K83" i="80"/>
  <c r="K128" i="80"/>
  <c r="K141" i="80"/>
  <c r="L22" i="70" l="1"/>
  <c r="E9" i="68"/>
  <c r="I8" i="68"/>
  <c r="J8" i="68" l="1"/>
  <c r="V58" i="63"/>
  <c r="V46" i="63"/>
  <c r="U58" i="63"/>
  <c r="U46" i="63"/>
  <c r="K8" i="68" l="1"/>
  <c r="J24" i="70"/>
  <c r="H24" i="70"/>
  <c r="M22" i="70"/>
  <c r="N22" i="70" s="1"/>
  <c r="M23" i="70"/>
  <c r="L23" i="70"/>
  <c r="O8" i="68" l="1"/>
  <c r="T22" i="70"/>
  <c r="U22" i="70" s="1"/>
  <c r="D164" i="69"/>
  <c r="P8" i="68" l="1"/>
  <c r="N21" i="70"/>
  <c r="N23" i="70"/>
  <c r="L16" i="65"/>
  <c r="L7" i="65"/>
  <c r="J30" i="64" l="1"/>
  <c r="D30" i="64"/>
  <c r="O30" i="64"/>
  <c r="G28" i="64"/>
  <c r="H28" i="64" s="1"/>
  <c r="P29" i="64"/>
  <c r="D46" i="65"/>
  <c r="G46" i="65"/>
  <c r="H46" i="65"/>
  <c r="O46" i="65"/>
  <c r="M46" i="65"/>
  <c r="I46" i="65"/>
  <c r="R45" i="65"/>
  <c r="Q45" i="65"/>
  <c r="K45" i="65"/>
  <c r="J45" i="65"/>
  <c r="F46" i="65"/>
  <c r="J44" i="65"/>
  <c r="K44" i="65"/>
  <c r="L44" i="65" s="1"/>
  <c r="Q44" i="65"/>
  <c r="R44" i="65"/>
  <c r="J43" i="65"/>
  <c r="K43" i="65"/>
  <c r="L43" i="65" s="1"/>
  <c r="Q43" i="65"/>
  <c r="R43" i="65"/>
  <c r="J42" i="65"/>
  <c r="K42" i="65"/>
  <c r="L42" i="65" s="1"/>
  <c r="Q42" i="65"/>
  <c r="R42" i="65"/>
  <c r="S46" i="65"/>
  <c r="O58" i="63"/>
  <c r="N58" i="63"/>
  <c r="R59" i="63"/>
  <c r="Q59" i="63"/>
  <c r="I59" i="63"/>
  <c r="D59" i="63"/>
  <c r="T43" i="65" l="1"/>
  <c r="P28" i="64"/>
  <c r="L28" i="64"/>
  <c r="M28" i="64" s="1"/>
  <c r="Q28" i="64"/>
  <c r="L29" i="64"/>
  <c r="Q29" i="64"/>
  <c r="K29" i="64"/>
  <c r="T44" i="65"/>
  <c r="U44" i="65" s="1"/>
  <c r="P58" i="63"/>
  <c r="X58" i="63" s="1"/>
  <c r="Y58" i="63" s="1"/>
  <c r="T42" i="65"/>
  <c r="U42" i="65" s="1"/>
  <c r="L45" i="65"/>
  <c r="T45" i="65" s="1"/>
  <c r="U45" i="65" s="1"/>
  <c r="U43" i="65"/>
  <c r="S28" i="64" l="1"/>
  <c r="M29" i="64"/>
  <c r="W59" i="63"/>
  <c r="S29" i="64" l="1"/>
  <c r="T29" i="64" s="1"/>
  <c r="R30" i="64"/>
  <c r="G185" i="69"/>
  <c r="E190" i="69"/>
  <c r="K24" i="70"/>
  <c r="I24" i="70"/>
  <c r="R31" i="65"/>
  <c r="Q31" i="65"/>
  <c r="I184" i="69" l="1"/>
  <c r="G8" i="64" l="1"/>
  <c r="H8" i="64" s="1"/>
  <c r="G9" i="64"/>
  <c r="H9" i="64" s="1"/>
  <c r="G10" i="64"/>
  <c r="H10" i="64" s="1"/>
  <c r="G11" i="64"/>
  <c r="H11" i="64" s="1"/>
  <c r="G12" i="64"/>
  <c r="H12" i="64" s="1"/>
  <c r="G13" i="64"/>
  <c r="H13" i="64" s="1"/>
  <c r="G14" i="64"/>
  <c r="H14" i="64" s="1"/>
  <c r="G15" i="64"/>
  <c r="H15" i="64" s="1"/>
  <c r="G16" i="64"/>
  <c r="H16" i="64" s="1"/>
  <c r="G17" i="64"/>
  <c r="H17" i="64" s="1"/>
  <c r="G18" i="64"/>
  <c r="H18" i="64" s="1"/>
  <c r="G19" i="64"/>
  <c r="H19" i="64" s="1"/>
  <c r="G20" i="64"/>
  <c r="H20" i="64" s="1"/>
  <c r="G21" i="64"/>
  <c r="H21" i="64" s="1"/>
  <c r="G22" i="64"/>
  <c r="H22" i="64" s="1"/>
  <c r="G23" i="64"/>
  <c r="H23" i="64" s="1"/>
  <c r="G24" i="64"/>
  <c r="H24" i="64" s="1"/>
  <c r="G25" i="64"/>
  <c r="H25" i="64" s="1"/>
  <c r="G26" i="64"/>
  <c r="H26" i="64" s="1"/>
  <c r="G27" i="64"/>
  <c r="H27" i="64" s="1"/>
  <c r="G7" i="64"/>
  <c r="H7" i="64" s="1"/>
  <c r="Q7" i="64" s="1"/>
  <c r="G9" i="63"/>
  <c r="H9" i="63" s="1"/>
  <c r="N9" i="63" s="1"/>
  <c r="G10" i="63"/>
  <c r="H10" i="63" s="1"/>
  <c r="N10" i="63" s="1"/>
  <c r="G11" i="63"/>
  <c r="H11" i="63" s="1"/>
  <c r="G12" i="63"/>
  <c r="H12" i="63" s="1"/>
  <c r="O12" i="63" s="1"/>
  <c r="G13" i="63"/>
  <c r="H13" i="63" s="1"/>
  <c r="N13" i="63" s="1"/>
  <c r="G14" i="63"/>
  <c r="H14" i="63" s="1"/>
  <c r="G15" i="63"/>
  <c r="H15" i="63" s="1"/>
  <c r="O15" i="63" s="1"/>
  <c r="P15" i="63" s="1"/>
  <c r="G16" i="63"/>
  <c r="H16" i="63" s="1"/>
  <c r="O16" i="63" s="1"/>
  <c r="P16" i="63" s="1"/>
  <c r="G17" i="63"/>
  <c r="H17" i="63" s="1"/>
  <c r="O17" i="63" s="1"/>
  <c r="P17" i="63" s="1"/>
  <c r="G18" i="63"/>
  <c r="H18" i="63" s="1"/>
  <c r="O18" i="63" s="1"/>
  <c r="P18" i="63" s="1"/>
  <c r="G19" i="63"/>
  <c r="H19" i="63" s="1"/>
  <c r="G20" i="63"/>
  <c r="H20" i="63" s="1"/>
  <c r="G21" i="63"/>
  <c r="H21" i="63" s="1"/>
  <c r="G22" i="63"/>
  <c r="H22" i="63" s="1"/>
  <c r="N22" i="63" s="1"/>
  <c r="G23" i="63"/>
  <c r="H23" i="63" s="1"/>
  <c r="G24" i="63"/>
  <c r="H24" i="63" s="1"/>
  <c r="O24" i="63" s="1"/>
  <c r="P24" i="63" s="1"/>
  <c r="G25" i="63"/>
  <c r="H25" i="63" s="1"/>
  <c r="O25" i="63" s="1"/>
  <c r="P25" i="63" s="1"/>
  <c r="G26" i="63"/>
  <c r="H26" i="63" s="1"/>
  <c r="N26" i="63" s="1"/>
  <c r="G27" i="63"/>
  <c r="H27" i="63" s="1"/>
  <c r="G28" i="63"/>
  <c r="H28" i="63" s="1"/>
  <c r="N28" i="63" s="1"/>
  <c r="G29" i="63"/>
  <c r="H29" i="63" s="1"/>
  <c r="O29" i="63" s="1"/>
  <c r="P29" i="63" s="1"/>
  <c r="G30" i="63"/>
  <c r="H30" i="63" s="1"/>
  <c r="O30" i="63" s="1"/>
  <c r="P30" i="63" s="1"/>
  <c r="G31" i="63"/>
  <c r="H31" i="63" s="1"/>
  <c r="G32" i="63"/>
  <c r="H32" i="63" s="1"/>
  <c r="N32" i="63" s="1"/>
  <c r="G33" i="63"/>
  <c r="H33" i="63" s="1"/>
  <c r="O33" i="63" s="1"/>
  <c r="P33" i="63" s="1"/>
  <c r="G34" i="63"/>
  <c r="H35" i="63"/>
  <c r="O35" i="63" s="1"/>
  <c r="P35" i="63" s="1"/>
  <c r="G36" i="63"/>
  <c r="H36" i="63" s="1"/>
  <c r="N36" i="63" s="1"/>
  <c r="G37" i="63"/>
  <c r="H37" i="63" s="1"/>
  <c r="G38" i="63"/>
  <c r="H38" i="63" s="1"/>
  <c r="G39" i="63"/>
  <c r="H39" i="63" s="1"/>
  <c r="O39" i="63" s="1"/>
  <c r="P39" i="63" s="1"/>
  <c r="G40" i="63"/>
  <c r="H40" i="63" s="1"/>
  <c r="G41" i="63"/>
  <c r="H41" i="63" s="1"/>
  <c r="G42" i="63"/>
  <c r="H42" i="63" s="1"/>
  <c r="G43" i="63"/>
  <c r="H43" i="63" s="1"/>
  <c r="G44" i="63"/>
  <c r="H44" i="63" s="1"/>
  <c r="N44" i="63" s="1"/>
  <c r="G45" i="63"/>
  <c r="H45" i="63" s="1"/>
  <c r="N45" i="63" s="1"/>
  <c r="G46" i="63"/>
  <c r="O46" i="63" s="1"/>
  <c r="P46" i="63" s="1"/>
  <c r="G47" i="63"/>
  <c r="H47" i="63" s="1"/>
  <c r="O47" i="63" s="1"/>
  <c r="P47" i="63" s="1"/>
  <c r="G48" i="63"/>
  <c r="H48" i="63" s="1"/>
  <c r="O48" i="63" s="1"/>
  <c r="P48" i="63" s="1"/>
  <c r="G49" i="63"/>
  <c r="H49" i="63" s="1"/>
  <c r="N49" i="63" s="1"/>
  <c r="G50" i="63"/>
  <c r="H50" i="63" s="1"/>
  <c r="O50" i="63" s="1"/>
  <c r="P50" i="63" s="1"/>
  <c r="G51" i="63"/>
  <c r="H51" i="63" s="1"/>
  <c r="O51" i="63" s="1"/>
  <c r="P51" i="63" s="1"/>
  <c r="G52" i="63"/>
  <c r="H52" i="63" s="1"/>
  <c r="O52" i="63" s="1"/>
  <c r="P52" i="63" s="1"/>
  <c r="G53" i="63"/>
  <c r="H53" i="63" s="1"/>
  <c r="G54" i="63"/>
  <c r="H54" i="63" s="1"/>
  <c r="N54" i="63" s="1"/>
  <c r="G55" i="63"/>
  <c r="H55" i="63" s="1"/>
  <c r="G56" i="63"/>
  <c r="H56" i="63" s="1"/>
  <c r="O56" i="63" s="1"/>
  <c r="P56" i="63" s="1"/>
  <c r="G57" i="63"/>
  <c r="H57" i="63" s="1"/>
  <c r="N57" i="63" s="1"/>
  <c r="G8" i="63"/>
  <c r="H8" i="63" s="1"/>
  <c r="H7" i="63"/>
  <c r="D29" i="66"/>
  <c r="D24" i="70"/>
  <c r="F24" i="70"/>
  <c r="H7" i="66"/>
  <c r="J7" i="65"/>
  <c r="O9" i="63"/>
  <c r="P9" i="63" s="1"/>
  <c r="P12" i="63"/>
  <c r="O13" i="63"/>
  <c r="P13" i="63" s="1"/>
  <c r="O20" i="63"/>
  <c r="P20" i="63" s="1"/>
  <c r="O37" i="63"/>
  <c r="P37" i="63" s="1"/>
  <c r="O38" i="63"/>
  <c r="P38" i="63" s="1"/>
  <c r="O40" i="63"/>
  <c r="P40" i="63" s="1"/>
  <c r="O45" i="63"/>
  <c r="P45" i="63" s="1"/>
  <c r="O53" i="63"/>
  <c r="P53" i="63" s="1"/>
  <c r="O54" i="63"/>
  <c r="P54" i="63" s="1"/>
  <c r="O55" i="63"/>
  <c r="P55" i="63" s="1"/>
  <c r="O57" i="63"/>
  <c r="P57" i="63" s="1"/>
  <c r="N20" i="63"/>
  <c r="N34" i="63"/>
  <c r="N37" i="63"/>
  <c r="N38" i="63"/>
  <c r="N40" i="63"/>
  <c r="N41" i="63"/>
  <c r="N52" i="63"/>
  <c r="N53" i="63"/>
  <c r="N56" i="63"/>
  <c r="N33" i="63" l="1"/>
  <c r="O49" i="63"/>
  <c r="P49" i="63" s="1"/>
  <c r="N30" i="63"/>
  <c r="N29" i="63"/>
  <c r="N17" i="63"/>
  <c r="N16" i="63"/>
  <c r="N12" i="63"/>
  <c r="N48" i="63"/>
  <c r="N39" i="63"/>
  <c r="O44" i="63"/>
  <c r="P44" i="63" s="1"/>
  <c r="O26" i="63"/>
  <c r="P26" i="63" s="1"/>
  <c r="N25" i="63"/>
  <c r="H30" i="64"/>
  <c r="N24" i="63"/>
  <c r="N55" i="63"/>
  <c r="U55" i="63"/>
  <c r="V55" i="63"/>
  <c r="N51" i="63"/>
  <c r="V51" i="63"/>
  <c r="U51" i="63"/>
  <c r="O43" i="63"/>
  <c r="P43" i="63" s="1"/>
  <c r="U43" i="63"/>
  <c r="V43" i="63"/>
  <c r="O31" i="63"/>
  <c r="P31" i="63" s="1"/>
  <c r="V31" i="63"/>
  <c r="U31" i="63"/>
  <c r="O27" i="63"/>
  <c r="P27" i="63" s="1"/>
  <c r="U27" i="63"/>
  <c r="V27" i="63"/>
  <c r="O23" i="63"/>
  <c r="P23" i="63" s="1"/>
  <c r="U23" i="63"/>
  <c r="V23" i="63"/>
  <c r="O19" i="63"/>
  <c r="P19" i="63" s="1"/>
  <c r="V19" i="63"/>
  <c r="U19" i="63"/>
  <c r="N15" i="63"/>
  <c r="V15" i="63"/>
  <c r="U15" i="63"/>
  <c r="O11" i="63"/>
  <c r="P11" i="63" s="1"/>
  <c r="U11" i="63"/>
  <c r="V11" i="63"/>
  <c r="U8" i="63"/>
  <c r="V8" i="63"/>
  <c r="N50" i="63"/>
  <c r="V50" i="63"/>
  <c r="U50" i="63"/>
  <c r="O42" i="63"/>
  <c r="P42" i="63" s="1"/>
  <c r="V42" i="63"/>
  <c r="U42" i="63"/>
  <c r="V38" i="63"/>
  <c r="U38" i="63"/>
  <c r="O34" i="63"/>
  <c r="P34" i="63" s="1"/>
  <c r="V34" i="63"/>
  <c r="U34" i="63"/>
  <c r="V30" i="63"/>
  <c r="U30" i="63"/>
  <c r="V26" i="63"/>
  <c r="U26" i="63"/>
  <c r="O22" i="63"/>
  <c r="P22" i="63" s="1"/>
  <c r="V22" i="63"/>
  <c r="U22" i="63"/>
  <c r="N18" i="63"/>
  <c r="U18" i="63"/>
  <c r="V18" i="63"/>
  <c r="O14" i="63"/>
  <c r="P14" i="63" s="1"/>
  <c r="V14" i="63"/>
  <c r="U14" i="63"/>
  <c r="O10" i="63"/>
  <c r="P10" i="63" s="1"/>
  <c r="V10" i="63"/>
  <c r="U10" i="63"/>
  <c r="H59" i="63"/>
  <c r="V7" i="63"/>
  <c r="U7" i="63"/>
  <c r="V49" i="63"/>
  <c r="U49" i="63"/>
  <c r="V45" i="63"/>
  <c r="U45" i="63"/>
  <c r="V41" i="63"/>
  <c r="U41" i="63"/>
  <c r="O41" i="63"/>
  <c r="P41" i="63" s="1"/>
  <c r="V33" i="63"/>
  <c r="U33" i="63"/>
  <c r="U29" i="63"/>
  <c r="V29" i="63"/>
  <c r="V25" i="63"/>
  <c r="U25" i="63"/>
  <c r="V21" i="63"/>
  <c r="U21" i="63"/>
  <c r="U17" i="63"/>
  <c r="V17" i="63"/>
  <c r="V9" i="63"/>
  <c r="U9" i="63"/>
  <c r="V52" i="63"/>
  <c r="U52" i="63"/>
  <c r="V44" i="63"/>
  <c r="U44" i="63"/>
  <c r="O32" i="63"/>
  <c r="P32" i="63" s="1"/>
  <c r="U32" i="63"/>
  <c r="V32" i="63"/>
  <c r="O28" i="63"/>
  <c r="P28" i="63" s="1"/>
  <c r="U28" i="63"/>
  <c r="V28" i="63"/>
  <c r="U24" i="63"/>
  <c r="V24" i="63"/>
  <c r="U20" i="63"/>
  <c r="V20" i="63"/>
  <c r="U16" i="63"/>
  <c r="V16" i="63"/>
  <c r="U12" i="63"/>
  <c r="V12" i="63"/>
  <c r="N47" i="63"/>
  <c r="N43" i="63"/>
  <c r="N21" i="63"/>
  <c r="O21" i="63"/>
  <c r="P21" i="63" s="1"/>
  <c r="N46" i="63"/>
  <c r="N19" i="63"/>
  <c r="N11" i="63"/>
  <c r="N35" i="63"/>
  <c r="N31" i="63"/>
  <c r="N27" i="63"/>
  <c r="N23" i="63"/>
  <c r="N14" i="63"/>
  <c r="N42" i="63"/>
  <c r="O36" i="63"/>
  <c r="P36" i="63" s="1"/>
  <c r="N7" i="63"/>
  <c r="O7" i="63"/>
  <c r="L7" i="64"/>
  <c r="M7" i="64" s="1"/>
  <c r="K7" i="64"/>
  <c r="N8" i="63"/>
  <c r="O8" i="63"/>
  <c r="P8" i="63" s="1"/>
  <c r="D167" i="77"/>
  <c r="D169" i="77" s="1"/>
  <c r="P7" i="63" l="1"/>
  <c r="P59" i="63" s="1"/>
  <c r="O59" i="63"/>
  <c r="N59" i="63"/>
  <c r="C159" i="77"/>
  <c r="D159" i="77"/>
  <c r="K18" i="64" l="1"/>
  <c r="L18" i="64"/>
  <c r="M18" i="64" s="1"/>
  <c r="P18" i="64"/>
  <c r="Q18" i="64"/>
  <c r="Z18" i="64"/>
  <c r="S18" i="64" l="1"/>
  <c r="T18" i="64" s="1"/>
  <c r="I6" i="69"/>
  <c r="O24" i="70"/>
  <c r="Q24" i="70"/>
  <c r="E174" i="69" l="1"/>
  <c r="R23" i="70" l="1"/>
  <c r="S23" i="70"/>
  <c r="G24" i="70"/>
  <c r="J38" i="65"/>
  <c r="T23" i="70" l="1"/>
  <c r="U23" i="70" s="1"/>
  <c r="D8" i="78" l="1"/>
  <c r="H196" i="77" l="1"/>
  <c r="H161" i="77"/>
  <c r="J41" i="65"/>
  <c r="J40" i="65"/>
  <c r="J39" i="65"/>
  <c r="J37" i="65"/>
  <c r="J36" i="65"/>
  <c r="J35" i="65"/>
  <c r="J34" i="65"/>
  <c r="J33" i="65"/>
  <c r="J32" i="65"/>
  <c r="J30" i="65"/>
  <c r="J29" i="65"/>
  <c r="J28" i="65"/>
  <c r="J27" i="65"/>
  <c r="J26" i="65"/>
  <c r="J25" i="65"/>
  <c r="J24" i="65"/>
  <c r="J23" i="65"/>
  <c r="J22" i="65"/>
  <c r="J21" i="65"/>
  <c r="J20" i="65"/>
  <c r="J19" i="65"/>
  <c r="J18" i="65"/>
  <c r="J17" i="65"/>
  <c r="J16" i="65"/>
  <c r="J15" i="65"/>
  <c r="J14" i="65"/>
  <c r="J13" i="65"/>
  <c r="J12" i="65"/>
  <c r="J11" i="65"/>
  <c r="J10" i="65"/>
  <c r="J9" i="65"/>
  <c r="J8" i="65"/>
  <c r="J46" i="65" l="1"/>
  <c r="L7" i="70"/>
  <c r="L147" i="69"/>
  <c r="M8" i="70"/>
  <c r="N8" i="70" s="1"/>
  <c r="L11" i="70"/>
  <c r="L10" i="70"/>
  <c r="L9" i="70"/>
  <c r="L8" i="70"/>
  <c r="S8" i="70"/>
  <c r="R8" i="70"/>
  <c r="T8" i="70" l="1"/>
  <c r="U8" i="70" s="1"/>
  <c r="K24" i="65" l="1"/>
  <c r="L24" i="65" s="1"/>
  <c r="I20" i="66"/>
  <c r="J20" i="66" s="1"/>
  <c r="D9" i="76" l="1"/>
  <c r="M17" i="70" l="1"/>
  <c r="N17" i="70" s="1"/>
  <c r="L17" i="70"/>
  <c r="M13" i="70"/>
  <c r="N13" i="70" s="1"/>
  <c r="M20" i="70"/>
  <c r="N20" i="70" s="1"/>
  <c r="I28" i="64" l="1"/>
  <c r="K28" i="64" l="1"/>
  <c r="T28" i="64" s="1"/>
  <c r="I30" i="64"/>
  <c r="M10" i="70"/>
  <c r="N10" i="70" s="1"/>
  <c r="M9" i="70"/>
  <c r="N9" i="70" s="1"/>
  <c r="M7" i="70"/>
  <c r="N7" i="70" s="1"/>
  <c r="K41" i="65" l="1"/>
  <c r="L41" i="65" s="1"/>
  <c r="Q41" i="65"/>
  <c r="R41" i="65"/>
  <c r="K40" i="65"/>
  <c r="L40" i="65" s="1"/>
  <c r="Q40" i="65"/>
  <c r="R40" i="65"/>
  <c r="T41" i="65" l="1"/>
  <c r="U41" i="65" s="1"/>
  <c r="T40" i="65"/>
  <c r="U40" i="65" s="1"/>
  <c r="L12" i="70"/>
  <c r="L13" i="70"/>
  <c r="L14" i="70"/>
  <c r="L15" i="70"/>
  <c r="L16" i="70"/>
  <c r="L18" i="70"/>
  <c r="L19" i="70"/>
  <c r="L20" i="70"/>
  <c r="L21" i="70"/>
  <c r="H8" i="66"/>
  <c r="H9" i="66"/>
  <c r="H10" i="66"/>
  <c r="H11" i="66"/>
  <c r="H12" i="66"/>
  <c r="H13" i="66"/>
  <c r="H14" i="66"/>
  <c r="H15" i="66"/>
  <c r="H16" i="66"/>
  <c r="H17" i="66"/>
  <c r="H18" i="66"/>
  <c r="H19" i="66"/>
  <c r="H20" i="66"/>
  <c r="H21" i="66"/>
  <c r="H22" i="66"/>
  <c r="H23" i="66"/>
  <c r="H24" i="66"/>
  <c r="H25" i="66"/>
  <c r="H26" i="66"/>
  <c r="H27" i="66"/>
  <c r="H28" i="66"/>
  <c r="K12" i="65"/>
  <c r="L12" i="65" s="1"/>
  <c r="L14" i="64"/>
  <c r="M14" i="64" s="1"/>
  <c r="K8" i="64"/>
  <c r="K9" i="64"/>
  <c r="K10" i="64"/>
  <c r="K11" i="64"/>
  <c r="K12" i="64"/>
  <c r="K13" i="64"/>
  <c r="K14" i="64"/>
  <c r="K15" i="64"/>
  <c r="K16" i="64"/>
  <c r="K17" i="64"/>
  <c r="K19" i="64"/>
  <c r="K20" i="64"/>
  <c r="K21" i="64"/>
  <c r="K22" i="64"/>
  <c r="K23" i="64"/>
  <c r="K24" i="64"/>
  <c r="K25" i="64"/>
  <c r="K26" i="64"/>
  <c r="K27" i="64"/>
  <c r="K30" i="64" l="1"/>
  <c r="L24" i="70"/>
  <c r="M17" i="66" l="1"/>
  <c r="K18" i="65" l="1"/>
  <c r="L18" i="65" s="1"/>
  <c r="P7" i="64" l="1"/>
  <c r="S7" i="64" s="1"/>
  <c r="K35" i="65" l="1"/>
  <c r="L35" i="65" s="1"/>
  <c r="R21" i="70" l="1"/>
  <c r="T21" i="70" s="1"/>
  <c r="U21" i="70" s="1"/>
  <c r="S21" i="70"/>
  <c r="R28" i="65" l="1"/>
  <c r="R10" i="70" l="1"/>
  <c r="R9" i="70"/>
  <c r="R7" i="70"/>
  <c r="K29" i="66" l="1"/>
  <c r="M19" i="70" l="1"/>
  <c r="N19" i="70" s="1"/>
  <c r="K27" i="65"/>
  <c r="L27" i="65" s="1"/>
  <c r="P22" i="64"/>
  <c r="R39" i="65" l="1"/>
  <c r="Q39" i="65"/>
  <c r="K39" i="65"/>
  <c r="L39" i="65" s="1"/>
  <c r="S11" i="70"/>
  <c r="R11" i="70"/>
  <c r="M11" i="70"/>
  <c r="N11" i="70" s="1"/>
  <c r="T39" i="65" l="1"/>
  <c r="U39" i="65" s="1"/>
  <c r="X57" i="63"/>
  <c r="Y57" i="63" s="1"/>
  <c r="X56" i="63"/>
  <c r="Y56" i="63" s="1"/>
  <c r="X55" i="63"/>
  <c r="Y55" i="63" s="1"/>
  <c r="S20" i="70"/>
  <c r="R20" i="70"/>
  <c r="S19" i="70"/>
  <c r="R19" i="70"/>
  <c r="T19" i="70" s="1"/>
  <c r="S18" i="70"/>
  <c r="R18" i="70"/>
  <c r="M18" i="70"/>
  <c r="N18" i="70" s="1"/>
  <c r="S17" i="70"/>
  <c r="R17" i="70"/>
  <c r="S16" i="70"/>
  <c r="R16" i="70"/>
  <c r="M16" i="70"/>
  <c r="N16" i="70" s="1"/>
  <c r="M15" i="70"/>
  <c r="N15" i="70" s="1"/>
  <c r="S14" i="70"/>
  <c r="R14" i="70"/>
  <c r="M14" i="70"/>
  <c r="N14" i="70" s="1"/>
  <c r="T13" i="70"/>
  <c r="M12" i="70"/>
  <c r="S10" i="70"/>
  <c r="S9" i="70"/>
  <c r="S7" i="70"/>
  <c r="N12" i="70" l="1"/>
  <c r="N24" i="70" s="1"/>
  <c r="M24" i="70"/>
  <c r="R24" i="70"/>
  <c r="S24" i="70"/>
  <c r="T11" i="70"/>
  <c r="U11" i="70" s="1"/>
  <c r="T17" i="70"/>
  <c r="U17" i="70" s="1"/>
  <c r="T12" i="70"/>
  <c r="U12" i="70" s="1"/>
  <c r="T15" i="70"/>
  <c r="U15" i="70" s="1"/>
  <c r="U19" i="70"/>
  <c r="T20" i="70"/>
  <c r="U20" i="70" s="1"/>
  <c r="T9" i="70"/>
  <c r="U9" i="70" s="1"/>
  <c r="T10" i="70"/>
  <c r="U10" i="70" s="1"/>
  <c r="T14" i="70"/>
  <c r="U14" i="70" s="1"/>
  <c r="T16" i="70"/>
  <c r="U16" i="70" s="1"/>
  <c r="T18" i="70"/>
  <c r="U18" i="70" s="1"/>
  <c r="U13" i="70"/>
  <c r="T7" i="70" l="1"/>
  <c r="T24" i="70" s="1"/>
  <c r="U7" i="70" l="1"/>
  <c r="U24" i="70" s="1"/>
  <c r="L175" i="75"/>
  <c r="F29" i="66" l="1"/>
  <c r="Q17" i="64" l="1"/>
  <c r="P17" i="64"/>
  <c r="L17" i="64"/>
  <c r="M17" i="64" s="1"/>
  <c r="Q16" i="64"/>
  <c r="P16" i="64"/>
  <c r="L16" i="64"/>
  <c r="X49" i="63"/>
  <c r="K38" i="65"/>
  <c r="L38" i="65" s="1"/>
  <c r="M16" i="64" l="1"/>
  <c r="S16" i="64" s="1"/>
  <c r="T16" i="64" s="1"/>
  <c r="S17" i="64"/>
  <c r="T17" i="64" s="1"/>
  <c r="X47" i="63"/>
  <c r="Y47" i="63" s="1"/>
  <c r="X48" i="63"/>
  <c r="Y48" i="63" s="1"/>
  <c r="X51" i="63"/>
  <c r="Y51" i="63" s="1"/>
  <c r="X54" i="63"/>
  <c r="X53" i="63"/>
  <c r="Y53" i="63" s="1"/>
  <c r="X50" i="63"/>
  <c r="Y50" i="63" s="1"/>
  <c r="Y49" i="63"/>
  <c r="X52" i="63"/>
  <c r="Y54" i="63" l="1"/>
  <c r="Y52" i="63"/>
  <c r="T38" i="65"/>
  <c r="U38" i="65" s="1"/>
  <c r="K37" i="65"/>
  <c r="L37" i="65" s="1"/>
  <c r="Q37" i="65"/>
  <c r="R37" i="65"/>
  <c r="Q36" i="65"/>
  <c r="K36" i="65"/>
  <c r="L36" i="65" s="1"/>
  <c r="R36" i="65"/>
  <c r="R35" i="65"/>
  <c r="Q35" i="65"/>
  <c r="T35" i="65" l="1"/>
  <c r="U35" i="65" s="1"/>
  <c r="T37" i="65"/>
  <c r="U37" i="65" s="1"/>
  <c r="T36" i="65" l="1"/>
  <c r="U36" i="65" s="1"/>
  <c r="R34" i="65"/>
  <c r="Q34" i="65"/>
  <c r="K34" i="65"/>
  <c r="L34" i="65" s="1"/>
  <c r="T34" i="65" l="1"/>
  <c r="U34" i="65" s="1"/>
  <c r="M28" i="66" l="1"/>
  <c r="I28" i="66"/>
  <c r="J28" i="66" s="1"/>
  <c r="N28" i="66"/>
  <c r="P28" i="66" l="1"/>
  <c r="Q28" i="66" s="1"/>
  <c r="M25" i="66"/>
  <c r="M26" i="66" l="1"/>
  <c r="I26" i="66"/>
  <c r="J26" i="66" s="1"/>
  <c r="N26" i="66"/>
  <c r="P26" i="66" l="1"/>
  <c r="Q26" i="66" s="1"/>
  <c r="X46" i="63" l="1"/>
  <c r="Y46" i="63" s="1"/>
  <c r="X45" i="63"/>
  <c r="Y45" i="63" s="1"/>
  <c r="AC7" i="63" l="1"/>
  <c r="AD7" i="63" s="1"/>
  <c r="AE7" i="63" s="1"/>
  <c r="AC8" i="63"/>
  <c r="AD8" i="63" s="1"/>
  <c r="AE8" i="63" s="1"/>
  <c r="AC9" i="63"/>
  <c r="AD9" i="63" s="1"/>
  <c r="AE9" i="63" s="1"/>
  <c r="AC10" i="63"/>
  <c r="AD10" i="63" s="1"/>
  <c r="AE10" i="63" s="1"/>
  <c r="AC11" i="63"/>
  <c r="AD11" i="63" s="1"/>
  <c r="AE11" i="63" s="1"/>
  <c r="AC12" i="63"/>
  <c r="AD12" i="63" s="1"/>
  <c r="AE12" i="63" s="1"/>
  <c r="AC13" i="63"/>
  <c r="AD13" i="63" s="1"/>
  <c r="AE13" i="63" s="1"/>
  <c r="AC14" i="63"/>
  <c r="AD14" i="63" s="1"/>
  <c r="AE14" i="63" s="1"/>
  <c r="AC15" i="63"/>
  <c r="AD15" i="63" s="1"/>
  <c r="AE15" i="63" s="1"/>
  <c r="AC16" i="63"/>
  <c r="AD16" i="63" s="1"/>
  <c r="AE16" i="63" s="1"/>
  <c r="AC17" i="63"/>
  <c r="AD17" i="63" s="1"/>
  <c r="AE17" i="63" s="1"/>
  <c r="AC18" i="63"/>
  <c r="AD18" i="63" s="1"/>
  <c r="AE18" i="63" s="1"/>
  <c r="AC20" i="63"/>
  <c r="AD20" i="63" s="1"/>
  <c r="AE20" i="63" s="1"/>
  <c r="AC21" i="63"/>
  <c r="AD21" i="63" s="1"/>
  <c r="AE21" i="63" s="1"/>
  <c r="X44" i="63" l="1"/>
  <c r="X10" i="63"/>
  <c r="P27" i="64"/>
  <c r="P26" i="64"/>
  <c r="P25" i="64"/>
  <c r="P24" i="64"/>
  <c r="P23" i="64"/>
  <c r="P21" i="64"/>
  <c r="P20" i="64"/>
  <c r="P19" i="64"/>
  <c r="P15" i="64"/>
  <c r="P14" i="64"/>
  <c r="S14" i="64" s="1"/>
  <c r="P13" i="64"/>
  <c r="P12" i="64"/>
  <c r="P11" i="64"/>
  <c r="P10" i="64"/>
  <c r="P9" i="64"/>
  <c r="P8" i="64"/>
  <c r="P30" i="64" l="1"/>
  <c r="N9" i="68"/>
  <c r="M9" i="68"/>
  <c r="L9" i="68"/>
  <c r="H9" i="68"/>
  <c r="G9" i="68"/>
  <c r="F9" i="68"/>
  <c r="T7" i="68"/>
  <c r="I7" i="68"/>
  <c r="I9" i="68" s="1"/>
  <c r="O29" i="66"/>
  <c r="N27" i="66"/>
  <c r="M27" i="66"/>
  <c r="I27" i="66"/>
  <c r="J27" i="66" s="1"/>
  <c r="N25" i="66"/>
  <c r="I25" i="66"/>
  <c r="J25" i="66" s="1"/>
  <c r="N24" i="66"/>
  <c r="M24" i="66"/>
  <c r="I24" i="66"/>
  <c r="J24" i="66" s="1"/>
  <c r="N23" i="66"/>
  <c r="M23" i="66"/>
  <c r="I23" i="66"/>
  <c r="J23" i="66" s="1"/>
  <c r="U22" i="66"/>
  <c r="V22" i="66" s="1"/>
  <c r="W22" i="66" s="1"/>
  <c r="N22" i="66"/>
  <c r="M22" i="66"/>
  <c r="I22" i="66"/>
  <c r="J22" i="66" s="1"/>
  <c r="U21" i="66"/>
  <c r="V21" i="66" s="1"/>
  <c r="W21" i="66" s="1"/>
  <c r="N21" i="66"/>
  <c r="M21" i="66"/>
  <c r="I21" i="66"/>
  <c r="J21" i="66" s="1"/>
  <c r="N20" i="66"/>
  <c r="M20" i="66"/>
  <c r="U19" i="66"/>
  <c r="V19" i="66" s="1"/>
  <c r="W19" i="66" s="1"/>
  <c r="N19" i="66"/>
  <c r="M19" i="66"/>
  <c r="I19" i="66"/>
  <c r="J19" i="66" s="1"/>
  <c r="U18" i="66"/>
  <c r="V18" i="66" s="1"/>
  <c r="W18" i="66" s="1"/>
  <c r="N18" i="66"/>
  <c r="M18" i="66"/>
  <c r="I18" i="66"/>
  <c r="J18" i="66" s="1"/>
  <c r="U17" i="66"/>
  <c r="V17" i="66" s="1"/>
  <c r="N17" i="66"/>
  <c r="I17" i="66"/>
  <c r="J17" i="66" s="1"/>
  <c r="U16" i="66"/>
  <c r="V16" i="66" s="1"/>
  <c r="W16" i="66" s="1"/>
  <c r="N16" i="66"/>
  <c r="M16" i="66"/>
  <c r="I16" i="66"/>
  <c r="J16" i="66" s="1"/>
  <c r="U15" i="66"/>
  <c r="V15" i="66" s="1"/>
  <c r="W15" i="66" s="1"/>
  <c r="N15" i="66"/>
  <c r="M15" i="66"/>
  <c r="I15" i="66"/>
  <c r="J15" i="66" s="1"/>
  <c r="U14" i="66"/>
  <c r="V14" i="66" s="1"/>
  <c r="N14" i="66"/>
  <c r="M14" i="66"/>
  <c r="I14" i="66"/>
  <c r="J14" i="66" s="1"/>
  <c r="U13" i="66"/>
  <c r="V13" i="66" s="1"/>
  <c r="W13" i="66" s="1"/>
  <c r="N13" i="66"/>
  <c r="M13" i="66"/>
  <c r="I13" i="66"/>
  <c r="J13" i="66" s="1"/>
  <c r="U12" i="66"/>
  <c r="V12" i="66" s="1"/>
  <c r="W12" i="66" s="1"/>
  <c r="N12" i="66"/>
  <c r="M12" i="66"/>
  <c r="I12" i="66"/>
  <c r="J12" i="66" s="1"/>
  <c r="N11" i="66"/>
  <c r="M11" i="66"/>
  <c r="I11" i="66"/>
  <c r="J11" i="66" s="1"/>
  <c r="U10" i="66"/>
  <c r="V10" i="66" s="1"/>
  <c r="W10" i="66" s="1"/>
  <c r="N10" i="66"/>
  <c r="M10" i="66"/>
  <c r="I10" i="66"/>
  <c r="J10" i="66" s="1"/>
  <c r="U9" i="66"/>
  <c r="V9" i="66" s="1"/>
  <c r="N9" i="66"/>
  <c r="M9" i="66"/>
  <c r="I9" i="66"/>
  <c r="J9" i="66" s="1"/>
  <c r="U8" i="66"/>
  <c r="V8" i="66" s="1"/>
  <c r="W8" i="66" s="1"/>
  <c r="N8" i="66"/>
  <c r="M8" i="66"/>
  <c r="I8" i="66"/>
  <c r="J8" i="66" s="1"/>
  <c r="U7" i="66"/>
  <c r="V7" i="66" s="1"/>
  <c r="N7" i="66"/>
  <c r="I7" i="66"/>
  <c r="J7" i="66" s="1"/>
  <c r="R33" i="65"/>
  <c r="Q33" i="65"/>
  <c r="K33" i="65"/>
  <c r="L33" i="65" s="1"/>
  <c r="R32" i="65"/>
  <c r="Q32" i="65"/>
  <c r="K32" i="65"/>
  <c r="L32" i="65" s="1"/>
  <c r="K31" i="65"/>
  <c r="R30" i="65"/>
  <c r="Q30" i="65"/>
  <c r="K30" i="65"/>
  <c r="R29" i="65"/>
  <c r="Q29" i="65"/>
  <c r="K29" i="65"/>
  <c r="L29" i="65" s="1"/>
  <c r="Q28" i="65"/>
  <c r="K28" i="65"/>
  <c r="L28" i="65" s="1"/>
  <c r="R27" i="65"/>
  <c r="Q27" i="65"/>
  <c r="R26" i="65"/>
  <c r="Q26" i="65"/>
  <c r="K26" i="65"/>
  <c r="L26" i="65" s="1"/>
  <c r="R25" i="65"/>
  <c r="Q25" i="65"/>
  <c r="K25" i="65"/>
  <c r="L25" i="65" s="1"/>
  <c r="R24" i="65"/>
  <c r="Q24" i="65"/>
  <c r="K23" i="65"/>
  <c r="L23" i="65" s="1"/>
  <c r="Y22" i="65"/>
  <c r="Z22" i="65" s="1"/>
  <c r="R22" i="65"/>
  <c r="Q22" i="65"/>
  <c r="K22" i="65"/>
  <c r="L22" i="65" s="1"/>
  <c r="Y21" i="65"/>
  <c r="Z21" i="65" s="1"/>
  <c r="R21" i="65"/>
  <c r="Q21" i="65"/>
  <c r="K21" i="65"/>
  <c r="L21" i="65" s="1"/>
  <c r="Y20" i="65"/>
  <c r="Z20" i="65" s="1"/>
  <c r="R20" i="65"/>
  <c r="Q20" i="65"/>
  <c r="K20" i="65"/>
  <c r="L20" i="65" s="1"/>
  <c r="Y19" i="65"/>
  <c r="Z19" i="65" s="1"/>
  <c r="R19" i="65"/>
  <c r="Q19" i="65"/>
  <c r="K19" i="65"/>
  <c r="L19" i="65" s="1"/>
  <c r="R18" i="65"/>
  <c r="Q18" i="65"/>
  <c r="Y17" i="65"/>
  <c r="Z17" i="65" s="1"/>
  <c r="R17" i="65"/>
  <c r="Q17" i="65"/>
  <c r="K17" i="65"/>
  <c r="L17" i="65" s="1"/>
  <c r="Y16" i="65"/>
  <c r="Z16" i="65" s="1"/>
  <c r="R16" i="65"/>
  <c r="Q16" i="65"/>
  <c r="T16" i="65" s="1"/>
  <c r="U16" i="65" s="1"/>
  <c r="Y15" i="65"/>
  <c r="Z15" i="65" s="1"/>
  <c r="R15" i="65"/>
  <c r="Q15" i="65"/>
  <c r="K15" i="65"/>
  <c r="L15" i="65" s="1"/>
  <c r="Y14" i="65"/>
  <c r="Z14" i="65" s="1"/>
  <c r="R14" i="65"/>
  <c r="Q14" i="65"/>
  <c r="K14" i="65"/>
  <c r="L14" i="65" s="1"/>
  <c r="Y13" i="65"/>
  <c r="Z13" i="65" s="1"/>
  <c r="R13" i="65"/>
  <c r="Q13" i="65"/>
  <c r="K13" i="65"/>
  <c r="L13" i="65" s="1"/>
  <c r="Y12" i="65"/>
  <c r="Z12" i="65" s="1"/>
  <c r="R12" i="65"/>
  <c r="Q12" i="65"/>
  <c r="Y11" i="65"/>
  <c r="Z11" i="65" s="1"/>
  <c r="R11" i="65"/>
  <c r="Q11" i="65"/>
  <c r="K11" i="65"/>
  <c r="L11" i="65" s="1"/>
  <c r="Y10" i="65"/>
  <c r="Z10" i="65" s="1"/>
  <c r="R10" i="65"/>
  <c r="Q10" i="65"/>
  <c r="K10" i="65"/>
  <c r="L10" i="65" s="1"/>
  <c r="Y9" i="65"/>
  <c r="Z9" i="65" s="1"/>
  <c r="R9" i="65"/>
  <c r="Q9" i="65"/>
  <c r="K9" i="65"/>
  <c r="L9" i="65" s="1"/>
  <c r="Y8" i="65"/>
  <c r="Z8" i="65" s="1"/>
  <c r="R8" i="65"/>
  <c r="Q8" i="65"/>
  <c r="K8" i="65"/>
  <c r="L8" i="65" s="1"/>
  <c r="Y7" i="65"/>
  <c r="Z7" i="65" s="1"/>
  <c r="R7" i="65"/>
  <c r="Q7" i="65"/>
  <c r="Q27" i="64"/>
  <c r="L27" i="64"/>
  <c r="Z26" i="64"/>
  <c r="Q26" i="64"/>
  <c r="L26" i="64"/>
  <c r="Z25" i="64"/>
  <c r="Q25" i="64"/>
  <c r="L25" i="64"/>
  <c r="Z24" i="64"/>
  <c r="Q24" i="64"/>
  <c r="L24" i="64"/>
  <c r="Z23" i="64"/>
  <c r="Q23" i="64"/>
  <c r="L23" i="64"/>
  <c r="Z22" i="64"/>
  <c r="Q22" i="64"/>
  <c r="L22" i="64"/>
  <c r="Q21" i="64"/>
  <c r="L21" i="64"/>
  <c r="Z20" i="64"/>
  <c r="Q20" i="64"/>
  <c r="L20" i="64"/>
  <c r="M20" i="64" s="1"/>
  <c r="Z19" i="64"/>
  <c r="Q19" i="64"/>
  <c r="L19" i="64"/>
  <c r="Z15" i="64"/>
  <c r="Q15" i="64"/>
  <c r="L15" i="64"/>
  <c r="Z14" i="64"/>
  <c r="Q14" i="64"/>
  <c r="Z13" i="64"/>
  <c r="Q13" i="64"/>
  <c r="L13" i="64"/>
  <c r="M13" i="64" s="1"/>
  <c r="S13" i="64" s="1"/>
  <c r="Z12" i="64"/>
  <c r="Q12" i="64"/>
  <c r="L12" i="64"/>
  <c r="Z11" i="64"/>
  <c r="Q11" i="64"/>
  <c r="L11" i="64"/>
  <c r="Z10" i="64"/>
  <c r="Q10" i="64"/>
  <c r="L10" i="64"/>
  <c r="Z9" i="64"/>
  <c r="Q9" i="64"/>
  <c r="L9" i="64"/>
  <c r="Z8" i="64"/>
  <c r="Q8" i="64"/>
  <c r="L8" i="64"/>
  <c r="Z7" i="64"/>
  <c r="U59" i="63"/>
  <c r="X26" i="63"/>
  <c r="X25" i="63"/>
  <c r="X23" i="63"/>
  <c r="X22" i="63"/>
  <c r="X21" i="63"/>
  <c r="X20" i="63"/>
  <c r="X19" i="63"/>
  <c r="X17" i="63"/>
  <c r="R46" i="65" l="1"/>
  <c r="M12" i="64"/>
  <c r="S12" i="64" s="1"/>
  <c r="T12" i="64" s="1"/>
  <c r="M15" i="64"/>
  <c r="S15" i="64" s="1"/>
  <c r="T15" i="64" s="1"/>
  <c r="M27" i="64"/>
  <c r="S27" i="64" s="1"/>
  <c r="T27" i="64" s="1"/>
  <c r="M26" i="64"/>
  <c r="S26" i="64" s="1"/>
  <c r="T26" i="64" s="1"/>
  <c r="M25" i="64"/>
  <c r="S25" i="64" s="1"/>
  <c r="T25" i="64" s="1"/>
  <c r="M24" i="64"/>
  <c r="S24" i="64" s="1"/>
  <c r="T24" i="64" s="1"/>
  <c r="M23" i="64"/>
  <c r="S23" i="64" s="1"/>
  <c r="T23" i="64" s="1"/>
  <c r="M22" i="64"/>
  <c r="S22" i="64" s="1"/>
  <c r="M11" i="64"/>
  <c r="S11" i="64" s="1"/>
  <c r="T11" i="64" s="1"/>
  <c r="J29" i="66"/>
  <c r="M10" i="64"/>
  <c r="S10" i="64" s="1"/>
  <c r="T10" i="64" s="1"/>
  <c r="M9" i="64"/>
  <c r="S9" i="64" s="1"/>
  <c r="T9" i="64" s="1"/>
  <c r="Q30" i="64"/>
  <c r="M8" i="64"/>
  <c r="S8" i="64" s="1"/>
  <c r="T8" i="64" s="1"/>
  <c r="M21" i="64"/>
  <c r="S21" i="64" s="1"/>
  <c r="T21" i="64" s="1"/>
  <c r="M19" i="64"/>
  <c r="L30" i="64"/>
  <c r="L31" i="65"/>
  <c r="T31" i="65" s="1"/>
  <c r="U31" i="65" s="1"/>
  <c r="L30" i="65"/>
  <c r="T30" i="65" s="1"/>
  <c r="U30" i="65" s="1"/>
  <c r="V59" i="63"/>
  <c r="K46" i="65"/>
  <c r="Q46" i="65"/>
  <c r="S20" i="64"/>
  <c r="J7" i="68"/>
  <c r="M29" i="66"/>
  <c r="N29" i="66"/>
  <c r="T33" i="65"/>
  <c r="U33" i="65" s="1"/>
  <c r="T8" i="65"/>
  <c r="U8" i="65" s="1"/>
  <c r="T23" i="65"/>
  <c r="U23" i="65" s="1"/>
  <c r="T25" i="65"/>
  <c r="U25" i="65" s="1"/>
  <c r="T7" i="64"/>
  <c r="T13" i="64"/>
  <c r="T14" i="64"/>
  <c r="X9" i="63"/>
  <c r="Y9" i="63" s="1"/>
  <c r="Y10" i="63"/>
  <c r="X28" i="63"/>
  <c r="X30" i="63"/>
  <c r="Y30" i="63" s="1"/>
  <c r="X32" i="63"/>
  <c r="Y32" i="63" s="1"/>
  <c r="X34" i="63"/>
  <c r="Y34" i="63" s="1"/>
  <c r="X35" i="63"/>
  <c r="Y35" i="63" s="1"/>
  <c r="X37" i="63"/>
  <c r="Y37" i="63" s="1"/>
  <c r="X39" i="63"/>
  <c r="Y39" i="63" s="1"/>
  <c r="X40" i="63"/>
  <c r="X43" i="63"/>
  <c r="Y43" i="63" s="1"/>
  <c r="X11" i="63"/>
  <c r="Y11" i="63" s="1"/>
  <c r="X12" i="63"/>
  <c r="Y12" i="63" s="1"/>
  <c r="X13" i="63"/>
  <c r="Y13" i="63" s="1"/>
  <c r="X14" i="63"/>
  <c r="Y14" i="63" s="1"/>
  <c r="X15" i="63"/>
  <c r="Y15" i="63" s="1"/>
  <c r="X16" i="63"/>
  <c r="Y16" i="63" s="1"/>
  <c r="Y21" i="63"/>
  <c r="X27" i="63"/>
  <c r="Y27" i="63" s="1"/>
  <c r="X29" i="63"/>
  <c r="Y29" i="63" s="1"/>
  <c r="X31" i="63"/>
  <c r="Y31" i="63" s="1"/>
  <c r="X33" i="63"/>
  <c r="Y33" i="63" s="1"/>
  <c r="X42" i="63"/>
  <c r="Y42" i="63" s="1"/>
  <c r="H29" i="66"/>
  <c r="T26" i="65"/>
  <c r="U26" i="65" s="1"/>
  <c r="T27" i="65"/>
  <c r="U27" i="65" s="1"/>
  <c r="X18" i="63"/>
  <c r="Y18" i="63" s="1"/>
  <c r="X24" i="63"/>
  <c r="Y24" i="63" s="1"/>
  <c r="X36" i="63"/>
  <c r="Y36" i="63" s="1"/>
  <c r="X41" i="63"/>
  <c r="Y41" i="63" s="1"/>
  <c r="I29" i="66"/>
  <c r="P22" i="66"/>
  <c r="Q22" i="66" s="1"/>
  <c r="P13" i="66"/>
  <c r="Q13" i="66" s="1"/>
  <c r="P23" i="66"/>
  <c r="Q23" i="66" s="1"/>
  <c r="U7" i="68"/>
  <c r="V7" i="68" s="1"/>
  <c r="P12" i="66"/>
  <c r="Q12" i="66" s="1"/>
  <c r="P7" i="66"/>
  <c r="Q7" i="66" s="1"/>
  <c r="W14" i="66"/>
  <c r="P18" i="66"/>
  <c r="Q18" i="66" s="1"/>
  <c r="W9" i="66"/>
  <c r="P20" i="66"/>
  <c r="Q20" i="66" s="1"/>
  <c r="Y44" i="63"/>
  <c r="W7" i="66"/>
  <c r="W17" i="66"/>
  <c r="P27" i="66"/>
  <c r="Q27" i="66" s="1"/>
  <c r="X38" i="63"/>
  <c r="Y38" i="63" s="1"/>
  <c r="P10" i="66"/>
  <c r="Q10" i="66" s="1"/>
  <c r="P11" i="66"/>
  <c r="Q11" i="66" s="1"/>
  <c r="P15" i="66"/>
  <c r="Q15" i="66" s="1"/>
  <c r="P16" i="66"/>
  <c r="Q16" i="66" s="1"/>
  <c r="T10" i="65"/>
  <c r="U10" i="65" s="1"/>
  <c r="T20" i="65"/>
  <c r="U20" i="65" s="1"/>
  <c r="AA10" i="65"/>
  <c r="T12" i="65"/>
  <c r="U12" i="65" s="1"/>
  <c r="AA16" i="65"/>
  <c r="T18" i="65"/>
  <c r="U18" i="65" s="1"/>
  <c r="T19" i="65"/>
  <c r="U19" i="65" s="1"/>
  <c r="AA20" i="65"/>
  <c r="T22" i="65"/>
  <c r="U22" i="65" s="1"/>
  <c r="T28" i="65"/>
  <c r="T29" i="65"/>
  <c r="AA8" i="65"/>
  <c r="AA12" i="65"/>
  <c r="P24" i="66"/>
  <c r="Q24" i="66" s="1"/>
  <c r="AA7" i="65"/>
  <c r="AA9" i="65"/>
  <c r="AA11" i="65"/>
  <c r="AA13" i="65"/>
  <c r="AA14" i="65"/>
  <c r="AA15" i="65"/>
  <c r="AA17" i="65"/>
  <c r="AA19" i="65"/>
  <c r="AA21" i="65"/>
  <c r="AA22" i="65"/>
  <c r="T9" i="65"/>
  <c r="U9" i="65" s="1"/>
  <c r="T11" i="65"/>
  <c r="U11" i="65" s="1"/>
  <c r="T13" i="65"/>
  <c r="U13" i="65" s="1"/>
  <c r="T14" i="65"/>
  <c r="U14" i="65" s="1"/>
  <c r="T15" i="65"/>
  <c r="U15" i="65" s="1"/>
  <c r="T17" i="65"/>
  <c r="U17" i="65" s="1"/>
  <c r="T21" i="65"/>
  <c r="U21" i="65" s="1"/>
  <c r="P9" i="66"/>
  <c r="Q9" i="66" s="1"/>
  <c r="P14" i="66"/>
  <c r="Q14" i="66" s="1"/>
  <c r="P17" i="66"/>
  <c r="Q17" i="66" s="1"/>
  <c r="P21" i="66"/>
  <c r="Q21" i="66" s="1"/>
  <c r="Y25" i="63"/>
  <c r="Y22" i="63"/>
  <c r="Y23" i="63"/>
  <c r="Y26" i="63"/>
  <c r="Y20" i="63"/>
  <c r="Y17" i="63"/>
  <c r="Y19" i="63"/>
  <c r="K7" i="68" l="1"/>
  <c r="K9" i="68" s="1"/>
  <c r="J9" i="68"/>
  <c r="M30" i="64"/>
  <c r="S19" i="64"/>
  <c r="T19" i="64" s="1"/>
  <c r="L46" i="65"/>
  <c r="T20" i="64"/>
  <c r="Y28" i="63"/>
  <c r="T24" i="65"/>
  <c r="U24" i="65" s="1"/>
  <c r="Y40" i="63"/>
  <c r="U29" i="65"/>
  <c r="T32" i="65"/>
  <c r="U32" i="65" s="1"/>
  <c r="T7" i="65"/>
  <c r="T22" i="64"/>
  <c r="P25" i="66"/>
  <c r="Q25" i="66" s="1"/>
  <c r="X8" i="63"/>
  <c r="P19" i="66"/>
  <c r="Q19" i="66" s="1"/>
  <c r="O7" i="68"/>
  <c r="O9" i="68" s="1"/>
  <c r="X7" i="63"/>
  <c r="U28" i="65"/>
  <c r="P8" i="66"/>
  <c r="T30" i="64" l="1"/>
  <c r="S30" i="64"/>
  <c r="X59" i="63"/>
  <c r="T46" i="65"/>
  <c r="Y7" i="63"/>
  <c r="U7" i="65"/>
  <c r="U46" i="65" s="1"/>
  <c r="Y8" i="63"/>
  <c r="P29" i="66"/>
  <c r="P7" i="68"/>
  <c r="P9" i="68" s="1"/>
  <c r="Q8" i="66"/>
  <c r="Y59" i="63" l="1"/>
</calcChain>
</file>

<file path=xl/sharedStrings.xml><?xml version="1.0" encoding="utf-8"?>
<sst xmlns="http://schemas.openxmlformats.org/spreadsheetml/2006/main" count="1725" uniqueCount="491">
  <si>
    <t>Signature</t>
  </si>
  <si>
    <t>No</t>
  </si>
  <si>
    <t>Name</t>
  </si>
  <si>
    <t>Net Pay</t>
  </si>
  <si>
    <t>Total</t>
  </si>
  <si>
    <t>Signature          ____________                  Signature ______________                        Signature _______________</t>
  </si>
  <si>
    <t>TOTAL</t>
  </si>
  <si>
    <t xml:space="preserve"> </t>
  </si>
  <si>
    <t>.</t>
  </si>
  <si>
    <t>N.EStarving</t>
  </si>
  <si>
    <t>Job 
Title</t>
  </si>
  <si>
    <t>Work
 days</t>
  </si>
  <si>
    <t>Earning</t>
  </si>
  <si>
    <t>Gross 
Earning</t>
  </si>
  <si>
    <t>Taxable 
Income</t>
  </si>
  <si>
    <t>Deduction</t>
  </si>
  <si>
    <t>Total
Dedaction</t>
  </si>
  <si>
    <t>Basic Salary</t>
  </si>
  <si>
    <t>Transp 
 Allow.</t>
  </si>
  <si>
    <t>OT</t>
  </si>
  <si>
    <t xml:space="preserve">Unit leader </t>
  </si>
  <si>
    <t>DH</t>
  </si>
  <si>
    <t>Income
Tax</t>
  </si>
  <si>
    <t xml:space="preserve">School pay </t>
  </si>
  <si>
    <t>Eder</t>
  </si>
  <si>
    <t>Office Loan</t>
  </si>
  <si>
    <t>Café Loan</t>
  </si>
  <si>
    <t>Pension
Con.7%</t>
  </si>
  <si>
    <t>Pension
Con.11%</t>
  </si>
  <si>
    <t>Amanuel Abebe</t>
  </si>
  <si>
    <t>Tech</t>
  </si>
  <si>
    <t>Bereket Bezabeh</t>
  </si>
  <si>
    <t>Derje Mekonnen</t>
  </si>
  <si>
    <t>Eyerusalem Aregaw</t>
  </si>
  <si>
    <t>Gosaye Nigatu</t>
  </si>
  <si>
    <t>Mekedes Ayele</t>
  </si>
  <si>
    <t>Mengistu Teshome</t>
  </si>
  <si>
    <t>Negash Tsegaye</t>
  </si>
  <si>
    <t>Sintayehu Hailu</t>
  </si>
  <si>
    <t>Yehualashet Gadissa</t>
  </si>
  <si>
    <t>Akalu Girma</t>
  </si>
  <si>
    <t>Matiwos Elias</t>
  </si>
  <si>
    <t>Bereket Delnesaw</t>
  </si>
  <si>
    <t>Workenesh Berhanu</t>
  </si>
  <si>
    <t>Nigist Tema</t>
  </si>
  <si>
    <t>Zelalem Ferede</t>
  </si>
  <si>
    <t>Tigabu Delelegn</t>
  </si>
  <si>
    <t>Kassahun Kanculo</t>
  </si>
  <si>
    <t>Mengistu Alemayehu</t>
  </si>
  <si>
    <t>Mesay Fikereyesus</t>
  </si>
  <si>
    <t>Meseret Ageze</t>
  </si>
  <si>
    <t>Andualem Belay</t>
  </si>
  <si>
    <t>Nebiyu Yalew</t>
  </si>
  <si>
    <t>Miliyon Berhanu</t>
  </si>
  <si>
    <t>Mitike Yetera</t>
  </si>
  <si>
    <t>Joseph Muluneh</t>
  </si>
  <si>
    <t>Amanuel Sodano</t>
  </si>
  <si>
    <t>Aster Tsegaye</t>
  </si>
  <si>
    <t>Senayit Emeshaw</t>
  </si>
  <si>
    <t>Samuel Bogale</t>
  </si>
  <si>
    <t>Beruhtesfa Getachew</t>
  </si>
  <si>
    <t>Plipos Tameru</t>
  </si>
  <si>
    <t>Henok Dagne</t>
  </si>
  <si>
    <t>Johany Hailu</t>
  </si>
  <si>
    <t>Berhanu Naramo</t>
  </si>
  <si>
    <t>Fasika Tomas</t>
  </si>
  <si>
    <t>Betrework Belete</t>
  </si>
  <si>
    <t>Sebelewongel Gagado</t>
  </si>
  <si>
    <t xml:space="preserve">Dereje Degualem </t>
  </si>
  <si>
    <t xml:space="preserve">Tech </t>
  </si>
  <si>
    <t>Transp
 Allow.</t>
  </si>
  <si>
    <t>Bertukan Shanka</t>
  </si>
  <si>
    <t>Janitor</t>
  </si>
  <si>
    <t>Meseret Mamo</t>
  </si>
  <si>
    <t>Tigist Kebede</t>
  </si>
  <si>
    <t>Mahlet Fikere</t>
  </si>
  <si>
    <t>Asegedech Hailu</t>
  </si>
  <si>
    <t>Mestawot Mamo</t>
  </si>
  <si>
    <t>Mareshet Dogoyo</t>
  </si>
  <si>
    <t>At</t>
  </si>
  <si>
    <t>Banchayhu Agumesa</t>
  </si>
  <si>
    <t>Amelework Alemayehu</t>
  </si>
  <si>
    <t>Tarike Beyene</t>
  </si>
  <si>
    <t>Tibeletse Arefaine</t>
  </si>
  <si>
    <t>Fana Mulat</t>
  </si>
  <si>
    <t>Mt</t>
  </si>
  <si>
    <t>Tizita Nigusse</t>
  </si>
  <si>
    <t>Tigist Gerji</t>
  </si>
  <si>
    <t xml:space="preserve">Aberash Workineh </t>
  </si>
  <si>
    <t xml:space="preserve">Position </t>
  </si>
  <si>
    <t xml:space="preserve">Café loan </t>
  </si>
  <si>
    <t>Guar</t>
  </si>
  <si>
    <t>Abebech Nigusse</t>
  </si>
  <si>
    <t>Janit</t>
  </si>
  <si>
    <t>Abinet Diga</t>
  </si>
  <si>
    <t>Ayelech Motola</t>
  </si>
  <si>
    <t>Bekelech Kebede</t>
  </si>
  <si>
    <t>Bezunesh Gebere</t>
  </si>
  <si>
    <t>Daniel Delebo</t>
  </si>
  <si>
    <t>Demekech Mena</t>
  </si>
  <si>
    <t>Pilipos Wotango</t>
  </si>
  <si>
    <t>Tarikua Butana</t>
  </si>
  <si>
    <t>Trunesh Tucho</t>
  </si>
  <si>
    <t>Zinash Zewge</t>
  </si>
  <si>
    <t>Tsehaye Bekele</t>
  </si>
  <si>
    <t>AT</t>
  </si>
  <si>
    <t>Ejigayehu Gebere</t>
  </si>
  <si>
    <t>Abebech Mengistu</t>
  </si>
  <si>
    <t>Meseret Yoseph</t>
  </si>
  <si>
    <t>Tomas Datano</t>
  </si>
  <si>
    <t>Medhanit Ledamo</t>
  </si>
  <si>
    <t>Abeba Bekele</t>
  </si>
  <si>
    <t>Mestawat Dola</t>
  </si>
  <si>
    <t>Meron Alebo</t>
  </si>
  <si>
    <t>Hayimanot Getachew</t>
  </si>
  <si>
    <t>Frehiwot Girma</t>
  </si>
  <si>
    <t>Amarech Banda</t>
  </si>
  <si>
    <t>Sec</t>
  </si>
  <si>
    <t>Kidist Belay</t>
  </si>
  <si>
    <t>Mintiwabe Bogale</t>
  </si>
  <si>
    <t>Alemnesh Nuree</t>
  </si>
  <si>
    <t>Abaynesh Samuel</t>
  </si>
  <si>
    <t>Mekides Matiwos</t>
  </si>
  <si>
    <t>Senayit Mota</t>
  </si>
  <si>
    <t>Abereham Dukamo</t>
  </si>
  <si>
    <t>MOUNT OLIVE SCHOOL(Enat Division) KG TEACHERS</t>
  </si>
  <si>
    <t>Amarech Asha</t>
  </si>
  <si>
    <t>Berhane Amanel</t>
  </si>
  <si>
    <t>v/sis</t>
  </si>
  <si>
    <t>Genet Lakew</t>
  </si>
  <si>
    <t>main</t>
  </si>
  <si>
    <t>Meskerem Simon</t>
  </si>
  <si>
    <t>Medehanit Tola</t>
  </si>
  <si>
    <t>M.Te</t>
  </si>
  <si>
    <t>Sebeleworke Solomon</t>
  </si>
  <si>
    <t>Wogayehu Teshome</t>
  </si>
  <si>
    <t>Zinash Tesfaye</t>
  </si>
  <si>
    <t>Tamenech Tafese</t>
  </si>
  <si>
    <t>Kidist Worku</t>
  </si>
  <si>
    <t>Mareta Sahele</t>
  </si>
  <si>
    <t>Birkinesh Meskele</t>
  </si>
  <si>
    <t xml:space="preserve">   </t>
  </si>
  <si>
    <t>Adebe Tilahun</t>
  </si>
  <si>
    <t>Elsa Zerihun</t>
  </si>
  <si>
    <t>Saron Mola</t>
  </si>
  <si>
    <t>Zinash Wae</t>
  </si>
  <si>
    <t>Miheret Ledamo</t>
  </si>
  <si>
    <t>Firehiwot Tesfaye</t>
  </si>
  <si>
    <t>Etalem Demise</t>
  </si>
  <si>
    <t>Rahel Abay</t>
  </si>
  <si>
    <t>V.HM</t>
  </si>
  <si>
    <t xml:space="preserve">Yemwedish Mengesha </t>
  </si>
  <si>
    <t>H.Allow.</t>
  </si>
  <si>
    <t>Acc Allo</t>
  </si>
  <si>
    <t>Gizaw Adem</t>
  </si>
  <si>
    <t>Alemaze Gebere</t>
  </si>
  <si>
    <t>Tayech Melaku</t>
  </si>
  <si>
    <t>Kifetew Lobongo</t>
  </si>
  <si>
    <t>Mekedemalem Wudematas</t>
  </si>
  <si>
    <t>Yene Yohannes</t>
  </si>
  <si>
    <t>Zebidar Zenebe</t>
  </si>
  <si>
    <t>PREPARED BY</t>
  </si>
  <si>
    <t>CHECKED BY</t>
  </si>
  <si>
    <t>___________________</t>
  </si>
  <si>
    <t>_______________________</t>
  </si>
  <si>
    <t>Getu Girma</t>
  </si>
  <si>
    <t>Legal</t>
  </si>
  <si>
    <t>Account No</t>
  </si>
  <si>
    <t>Alemnesh Benti</t>
  </si>
  <si>
    <t xml:space="preserve">Director </t>
  </si>
  <si>
    <t xml:space="preserve">Endalkachew Abate </t>
  </si>
  <si>
    <t xml:space="preserve">V/Director </t>
  </si>
  <si>
    <t xml:space="preserve">K.G Director </t>
  </si>
  <si>
    <t>HR</t>
  </si>
  <si>
    <t xml:space="preserve">Asaye Werkineh </t>
  </si>
  <si>
    <t xml:space="preserve">Quality </t>
  </si>
  <si>
    <t xml:space="preserve">Secretart </t>
  </si>
  <si>
    <t xml:space="preserve">                                                                                                                                                              APPROVED BY</t>
  </si>
  <si>
    <t>VERIFIED BY:-</t>
  </si>
  <si>
    <t>Approved by:</t>
  </si>
  <si>
    <t xml:space="preserve">Prepared by                                              Checked by                                                  Verified by:  </t>
  </si>
  <si>
    <t>Verified by:</t>
  </si>
  <si>
    <t xml:space="preserve">Prepared by                                              Checked by                                                   </t>
  </si>
  <si>
    <t>Elias Daniel</t>
  </si>
  <si>
    <t>Finance head</t>
  </si>
  <si>
    <t xml:space="preserve">M.Teacher </t>
  </si>
  <si>
    <t>At.Teacher</t>
  </si>
  <si>
    <t xml:space="preserve">Selamawit Samuel </t>
  </si>
  <si>
    <t xml:space="preserve">     </t>
  </si>
  <si>
    <t>Yalew  Solomon</t>
  </si>
  <si>
    <t>Awol Muzemil</t>
  </si>
  <si>
    <t xml:space="preserve">Wibit Wolde </t>
  </si>
  <si>
    <t xml:space="preserve">Dedaction </t>
  </si>
  <si>
    <t xml:space="preserve">Net Pay </t>
  </si>
  <si>
    <t>Sign</t>
  </si>
  <si>
    <t>s</t>
  </si>
  <si>
    <t xml:space="preserve">Tsehay Yohannes </t>
  </si>
  <si>
    <t xml:space="preserve">                 </t>
  </si>
  <si>
    <t xml:space="preserve">Signature </t>
  </si>
  <si>
    <t>Loan</t>
  </si>
  <si>
    <t>Accountant</t>
  </si>
  <si>
    <t>Niguse Ayele</t>
  </si>
  <si>
    <t>Ukumo Meskele kosa</t>
  </si>
  <si>
    <t>Abebe Ashe Akako</t>
  </si>
  <si>
    <t>Abel Abiyot Albora</t>
  </si>
  <si>
    <t>store</t>
  </si>
  <si>
    <t>MOUNT OLIVE SCHOOL(Enat Division) FOR  AWASH BANK</t>
  </si>
  <si>
    <t>0133623522000</t>
  </si>
  <si>
    <t>01336213637400</t>
  </si>
  <si>
    <t>01336213458900</t>
  </si>
  <si>
    <t>01336213601100</t>
  </si>
  <si>
    <t>01336213574704</t>
  </si>
  <si>
    <t>01336210919000</t>
  </si>
  <si>
    <t>01336213520000</t>
  </si>
  <si>
    <t>013201642934900</t>
  </si>
  <si>
    <t>01320281381300</t>
  </si>
  <si>
    <t>01336213464700</t>
  </si>
  <si>
    <t>01336213522900</t>
  </si>
  <si>
    <t>01320153044600</t>
  </si>
  <si>
    <t>013471515711701</t>
  </si>
  <si>
    <t>01336255499400</t>
  </si>
  <si>
    <t>01336213561900</t>
  </si>
  <si>
    <t>01336213568700</t>
  </si>
  <si>
    <t>013201148929300</t>
  </si>
  <si>
    <t>013201509285600</t>
  </si>
  <si>
    <t>01336211049100</t>
  </si>
  <si>
    <t>01336213476600</t>
  </si>
  <si>
    <t>01336210922500</t>
  </si>
  <si>
    <t>01336854570700</t>
  </si>
  <si>
    <t>01336213606500</t>
  </si>
  <si>
    <t>013362136302200</t>
  </si>
  <si>
    <t>01336213596100</t>
  </si>
  <si>
    <t>01336213547601</t>
  </si>
  <si>
    <t>01320199640000</t>
  </si>
  <si>
    <t>01336213520700</t>
  </si>
  <si>
    <t>01336213554000</t>
  </si>
  <si>
    <t>013481440955400</t>
  </si>
  <si>
    <t>01336932577700</t>
  </si>
  <si>
    <t>01336213491100</t>
  </si>
  <si>
    <t>01320508123400</t>
  </si>
  <si>
    <t>01336213518200</t>
  </si>
  <si>
    <t>01336213518900</t>
  </si>
  <si>
    <t>013201633727300</t>
  </si>
  <si>
    <t xml:space="preserve">Sileshi Kura </t>
  </si>
  <si>
    <t xml:space="preserve">Birhanu Kebede </t>
  </si>
  <si>
    <t xml:space="preserve">Fitsum Tadele </t>
  </si>
  <si>
    <t xml:space="preserve">Assefa Abebo </t>
  </si>
  <si>
    <t xml:space="preserve">Aklilu Chufamo </t>
  </si>
  <si>
    <t xml:space="preserve">Ayele Alemayehu </t>
  </si>
  <si>
    <t xml:space="preserve">Abayneh Nueshe </t>
  </si>
  <si>
    <t xml:space="preserve"> Beniyam Wondimu </t>
  </si>
  <si>
    <t>01336671852100</t>
  </si>
  <si>
    <t>01336213519000</t>
  </si>
  <si>
    <t>013201646074100</t>
  </si>
  <si>
    <t>01336255508800</t>
  </si>
  <si>
    <t>01336213539200</t>
  </si>
  <si>
    <t>01336213879000</t>
  </si>
  <si>
    <t>01336213585500</t>
  </si>
  <si>
    <t>103361645850400</t>
  </si>
  <si>
    <t>01320787079600</t>
  </si>
  <si>
    <t>01320657270600</t>
  </si>
  <si>
    <t xml:space="preserve">Asmerawork Nega </t>
  </si>
  <si>
    <t xml:space="preserve">Tseganesh Zeleke </t>
  </si>
  <si>
    <t xml:space="preserve">Mister Ejigu </t>
  </si>
  <si>
    <t xml:space="preserve">Tagesech Ashe </t>
  </si>
  <si>
    <t xml:space="preserve">Akal Getachew </t>
  </si>
  <si>
    <t xml:space="preserve">At.Teacher </t>
  </si>
  <si>
    <t xml:space="preserve">Yordanos Alemayehu </t>
  </si>
  <si>
    <t>Tigist Getachew</t>
  </si>
  <si>
    <t>01336213635400</t>
  </si>
  <si>
    <t>01336594147000</t>
  </si>
  <si>
    <t>01320585772400</t>
  </si>
  <si>
    <t>01336213776100</t>
  </si>
  <si>
    <t>013201635677101</t>
  </si>
  <si>
    <t>013201646793600</t>
  </si>
  <si>
    <t>01336213535900</t>
  </si>
  <si>
    <t>013471652848300</t>
  </si>
  <si>
    <t>01336255549900</t>
  </si>
  <si>
    <t>01336213620100</t>
  </si>
  <si>
    <t>013360651301300</t>
  </si>
  <si>
    <t>01336255196600</t>
  </si>
  <si>
    <t>013471652771300</t>
  </si>
  <si>
    <t>013471652388400</t>
  </si>
  <si>
    <t>013360218713100</t>
  </si>
  <si>
    <t>01320247056300</t>
  </si>
  <si>
    <t>013201299903001</t>
  </si>
  <si>
    <t>013201646800600</t>
  </si>
  <si>
    <t>013201646818200</t>
  </si>
  <si>
    <t>013200831545500</t>
  </si>
  <si>
    <t>01336213536300</t>
  </si>
  <si>
    <t>01336213600200</t>
  </si>
  <si>
    <t>01347911773400</t>
  </si>
  <si>
    <t>01336213540501</t>
  </si>
  <si>
    <t>01336213541700</t>
  </si>
  <si>
    <t>01336213632900</t>
  </si>
  <si>
    <t>013201646819500</t>
  </si>
  <si>
    <t>013201647573200</t>
  </si>
  <si>
    <t>013201648666900</t>
  </si>
  <si>
    <t>013201648553500</t>
  </si>
  <si>
    <t>013201647698700</t>
  </si>
  <si>
    <t>013201648444500</t>
  </si>
  <si>
    <t>013201647634100</t>
  </si>
  <si>
    <t>013361647155900</t>
  </si>
  <si>
    <t>013361647120400</t>
  </si>
  <si>
    <t>013491340072200</t>
  </si>
  <si>
    <t>013201643059800</t>
  </si>
  <si>
    <t>013361645877400</t>
  </si>
  <si>
    <t>01320947160700</t>
  </si>
  <si>
    <t>01336213523401</t>
  </si>
  <si>
    <t>013361671976600</t>
  </si>
  <si>
    <t>013361662437500</t>
  </si>
  <si>
    <t>013361662389000</t>
  </si>
  <si>
    <t>013200996519600</t>
  </si>
  <si>
    <t>013361651482600</t>
  </si>
  <si>
    <t>01320707553600</t>
  </si>
  <si>
    <t>01336165094150</t>
  </si>
  <si>
    <t>0133621357100</t>
  </si>
  <si>
    <t>01336213557600</t>
  </si>
  <si>
    <t>013201654458900</t>
  </si>
  <si>
    <t>013471651991400</t>
  </si>
  <si>
    <t>013361674687300</t>
  </si>
  <si>
    <t>CO Lejalme Gemechu</t>
  </si>
  <si>
    <t>01336825544000</t>
  </si>
  <si>
    <t>01336213624400</t>
  </si>
  <si>
    <t>013201652590700</t>
  </si>
  <si>
    <t>013201643645200</t>
  </si>
  <si>
    <t>013201646832800</t>
  </si>
  <si>
    <t>01361654323200</t>
  </si>
  <si>
    <t>013201648423202</t>
  </si>
  <si>
    <t>013471651927000</t>
  </si>
  <si>
    <t>013201643072500</t>
  </si>
  <si>
    <t>013201649873000</t>
  </si>
  <si>
    <t>013201654542800</t>
  </si>
  <si>
    <t>01336213528700</t>
  </si>
  <si>
    <t>01347914252000</t>
  </si>
  <si>
    <t>013200213615900</t>
  </si>
  <si>
    <t>013201648641000</t>
  </si>
  <si>
    <t>013201654661900</t>
  </si>
  <si>
    <t>03201654709500</t>
  </si>
  <si>
    <t>013201395309000</t>
  </si>
  <si>
    <t>01336273151900</t>
  </si>
  <si>
    <t>01336213768400</t>
  </si>
  <si>
    <t xml:space="preserve">Deputy Director </t>
  </si>
  <si>
    <t>Cashier</t>
  </si>
  <si>
    <t xml:space="preserve">Dawit Ermiyas </t>
  </si>
  <si>
    <t xml:space="preserve">Yohannes Assefa </t>
  </si>
  <si>
    <t xml:space="preserve">Gezahegn Terefe </t>
  </si>
  <si>
    <t>Beruktesfa Getachew</t>
  </si>
  <si>
    <t>Joany Hailu</t>
  </si>
  <si>
    <t>CO/ Lejalme Gemechu</t>
  </si>
  <si>
    <t xml:space="preserve"> ፵Aleka Desta Kiya </t>
  </si>
  <si>
    <t>013201648685300</t>
  </si>
  <si>
    <t>013201641208800</t>
  </si>
  <si>
    <t>01347593270500</t>
  </si>
  <si>
    <t>Abebech Mengisa</t>
  </si>
  <si>
    <t>Pho. Allo.</t>
  </si>
  <si>
    <t>013361677245400</t>
  </si>
  <si>
    <t>013201396059500</t>
  </si>
  <si>
    <t>Plipo Tameru</t>
  </si>
  <si>
    <t xml:space="preserve">Lilu Tesfaye </t>
  </si>
  <si>
    <t xml:space="preserve">Approved by </t>
  </si>
  <si>
    <t xml:space="preserve">Sinedu Mezegebu </t>
  </si>
  <si>
    <t xml:space="preserve">Mengistu Madebo </t>
  </si>
  <si>
    <t>Fikre Zelke</t>
  </si>
  <si>
    <t>Back pay</t>
  </si>
  <si>
    <t>back pay</t>
  </si>
  <si>
    <t>back pmy</t>
  </si>
  <si>
    <t>Wondosen Dejena</t>
  </si>
  <si>
    <t>013491232923300</t>
  </si>
  <si>
    <t>013201651846701</t>
  </si>
  <si>
    <t>013201679545501</t>
  </si>
  <si>
    <t>013201698480500</t>
  </si>
  <si>
    <t>M. te</t>
  </si>
  <si>
    <t>Demisew Lemasa</t>
  </si>
  <si>
    <t>Payroll payment Sheet For The Month   November and October 2025</t>
  </si>
  <si>
    <t>01325067129500</t>
  </si>
  <si>
    <t>013201361220301</t>
  </si>
  <si>
    <t xml:space="preserve">Zeritu Timotewos </t>
  </si>
  <si>
    <t>01336213449200</t>
  </si>
  <si>
    <t>01336213547700</t>
  </si>
  <si>
    <t>0133623517900</t>
  </si>
  <si>
    <t>013361679041000</t>
  </si>
  <si>
    <t>01336165523400</t>
  </si>
  <si>
    <t>01336213524/00</t>
  </si>
  <si>
    <t>013471418737800</t>
  </si>
  <si>
    <t xml:space="preserve">አሰፋ አቤቦ </t>
  </si>
  <si>
    <t xml:space="preserve">ፍፁም ታደለ </t>
  </si>
  <si>
    <t xml:space="preserve">ብርሃኑ ከበደ </t>
  </si>
  <si>
    <t xml:space="preserve">ስለሺ ኩራ </t>
  </si>
  <si>
    <t xml:space="preserve">ኮሌኔል ልጅአለም ገመቱ </t>
  </si>
  <si>
    <t>አክሊሉ ጫፋሞ</t>
  </si>
  <si>
    <t xml:space="preserve">ነብዩ ግዛው </t>
  </si>
  <si>
    <t xml:space="preserve">አየለ አለማየሁ </t>
  </si>
  <si>
    <t xml:space="preserve">ቢኒያም ወንድሙ </t>
  </si>
  <si>
    <t xml:space="preserve">አባይነህ ኑሼ </t>
  </si>
  <si>
    <t xml:space="preserve">አቤል አብዮት </t>
  </si>
  <si>
    <t xml:space="preserve">አበበ አሻ </t>
  </si>
  <si>
    <t>መስፍን ማልዳዬ</t>
  </si>
  <si>
    <t>አስር አለቃ ኡኩሞ መስቀሌ</t>
  </si>
  <si>
    <t xml:space="preserve">ሰላማዊት ሣሙኤል ዲላ </t>
  </si>
  <si>
    <t xml:space="preserve">ፀሐይ ዮሐንስ </t>
  </si>
  <si>
    <t xml:space="preserve">አስመራ ወርቅ ነጋ </t>
  </si>
  <si>
    <t xml:space="preserve">ፀጋነሽ ዘለቀ </t>
  </si>
  <si>
    <t xml:space="preserve">ሚስጥር እጅጉ </t>
  </si>
  <si>
    <t>ታገሰች አሼ</t>
  </si>
  <si>
    <t xml:space="preserve">አካል ጌታቸው </t>
  </si>
  <si>
    <t xml:space="preserve">ዮርዳኖስ አለማየሁ </t>
  </si>
  <si>
    <t>ትዕግስት ጌታቸው</t>
  </si>
  <si>
    <t xml:space="preserve">ገዛህኝ ተረፈ </t>
  </si>
  <si>
    <t xml:space="preserve">ሀምሳ አለቃ ድስታ ኪያ </t>
  </si>
  <si>
    <t xml:space="preserve">ሰንዱ መዝገቡ </t>
  </si>
  <si>
    <t xml:space="preserve">መንግስቱ ማዴቦ </t>
  </si>
  <si>
    <t xml:space="preserve">ፍቅሬ ዘለቀ </t>
  </si>
  <si>
    <t xml:space="preserve">ዳዎት ኤርሚያስ </t>
  </si>
  <si>
    <t xml:space="preserve">ዮሐንስ አሰፋ </t>
  </si>
  <si>
    <t xml:space="preserve">ጢሞትዎስ  ዌራቶ </t>
  </si>
  <si>
    <t xml:space="preserve">Gezhi Aba </t>
  </si>
  <si>
    <t>0133666986s2800</t>
  </si>
  <si>
    <t>013471532880901</t>
  </si>
  <si>
    <t>013361676409400</t>
  </si>
  <si>
    <t>013201669969900</t>
  </si>
  <si>
    <t>013201679520300</t>
  </si>
  <si>
    <t>013201651919001</t>
  </si>
  <si>
    <t>013361675479300</t>
  </si>
  <si>
    <t>Payroll payment Sheet For The Month  January  2026</t>
  </si>
  <si>
    <t xml:space="preserve">Getu Girma </t>
  </si>
  <si>
    <t>01336671837900</t>
  </si>
  <si>
    <r>
      <t xml:space="preserve">JANUARY 2026  GROSS </t>
    </r>
    <r>
      <rPr>
        <b/>
        <sz val="14"/>
        <color theme="1"/>
        <rFont val="Calibri"/>
        <family val="2"/>
        <scheme val="minor"/>
      </rPr>
      <t>Earning</t>
    </r>
    <r>
      <rPr>
        <b/>
        <sz val="12"/>
        <color theme="1"/>
        <rFont val="Calibri"/>
        <family val="2"/>
        <scheme val="minor"/>
      </rPr>
      <t xml:space="preserve"> AND  NET PAY REPORT </t>
    </r>
  </si>
  <si>
    <t xml:space="preserve"> ፵ Aleka Desta Kiya </t>
  </si>
  <si>
    <t>Basic Salary2</t>
  </si>
  <si>
    <t>Basic Salary1</t>
  </si>
  <si>
    <t>Basic 
Salary 2</t>
  </si>
  <si>
    <t>Ab.day</t>
  </si>
  <si>
    <t>Atend.date</t>
  </si>
  <si>
    <t>Abs.date</t>
  </si>
  <si>
    <t>Att.ce date</t>
  </si>
  <si>
    <t>1 ወር የተዘለለ</t>
  </si>
  <si>
    <t xml:space="preserve">Simret Woldu </t>
  </si>
  <si>
    <t>013201738706400</t>
  </si>
  <si>
    <t xml:space="preserve">NET </t>
  </si>
  <si>
    <t>103 276.03</t>
  </si>
  <si>
    <t>013201698213800</t>
  </si>
  <si>
    <t>MOUNT OLIVE SCHOOL  ADMIN</t>
  </si>
  <si>
    <t>በሚቀጥለው የሚቆረጥ</t>
  </si>
  <si>
    <t xml:space="preserve">Beniyam Wondimu </t>
  </si>
  <si>
    <t xml:space="preserve">Barnabas Dibaba </t>
  </si>
  <si>
    <t xml:space="preserve">Tirsit Gebre </t>
  </si>
  <si>
    <t xml:space="preserve">Birtukan Bancha </t>
  </si>
  <si>
    <t>Jan</t>
  </si>
  <si>
    <t xml:space="preserve">Samuel Bakalo </t>
  </si>
  <si>
    <t>Gua</t>
  </si>
  <si>
    <t xml:space="preserve">Chala Esrael </t>
  </si>
  <si>
    <t>G.duty</t>
  </si>
  <si>
    <t>A/te</t>
  </si>
  <si>
    <t xml:space="preserve">Kidist Alema </t>
  </si>
  <si>
    <t xml:space="preserve">Genet Mirega </t>
  </si>
  <si>
    <t>013471481335600</t>
  </si>
  <si>
    <t>013201661290900</t>
  </si>
  <si>
    <t>013490857456200</t>
  </si>
  <si>
    <t>G.M</t>
  </si>
  <si>
    <t xml:space="preserve">Akanaw Assfa </t>
  </si>
  <si>
    <t xml:space="preserve">Deputy  plan  &amp;
 Budget </t>
  </si>
  <si>
    <t>013201746774400</t>
  </si>
  <si>
    <t>013481748524300</t>
  </si>
  <si>
    <t>013201753114800</t>
  </si>
  <si>
    <t>013201748095600</t>
  </si>
  <si>
    <t xml:space="preserve">Tegegn Yisihak </t>
  </si>
  <si>
    <t xml:space="preserve">Wendimu Alemayehu </t>
  </si>
  <si>
    <t>013201466206900</t>
  </si>
  <si>
    <t xml:space="preserve">Name </t>
  </si>
  <si>
    <t xml:space="preserve">Total </t>
  </si>
  <si>
    <t xml:space="preserve">April Salary </t>
  </si>
  <si>
    <t>pension 
con. 7%</t>
  </si>
  <si>
    <t>pension 
con.11%</t>
  </si>
  <si>
    <t xml:space="preserve">Unit 
leader </t>
  </si>
  <si>
    <t>Tra. 
 Allow.</t>
  </si>
  <si>
    <t>013201756964502</t>
  </si>
  <si>
    <t xml:space="preserve"> Frehiwot Girma </t>
  </si>
  <si>
    <t xml:space="preserve"> Tezeta Peteros  </t>
  </si>
  <si>
    <t xml:space="preserve"> Nigist Tema </t>
  </si>
  <si>
    <t>MOUNT OLIVE SCHOOL KG/SUPPORT STAFF</t>
  </si>
  <si>
    <t>MOUNT OLIVE SCHOOL TEACHING STAFF</t>
  </si>
  <si>
    <t>MOUNT OLIVE SCHOOL PRIMERY DIVISION SUPPORT STAFF</t>
  </si>
  <si>
    <t>MOUNT OLIVE SCHOOL FOR  AWASH BANK</t>
  </si>
  <si>
    <t>Payroll payment Sheet For The Month Of June 2026</t>
  </si>
  <si>
    <t>Payroll payment Sheet For The Month Of June   2026</t>
  </si>
  <si>
    <t>Payroll payment Sheet For The Month Of June  2026</t>
  </si>
  <si>
    <t>Payroll payment Sheet For The Month Of  June  2026</t>
  </si>
  <si>
    <t>Payroll payment Sheet For The Month  June 2026</t>
  </si>
  <si>
    <t>Payroll payment Sheet For The Month Of  June 2026</t>
  </si>
  <si>
    <t xml:space="preserve">June  Salary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</si>
</sst>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00"/>
    <numFmt numFmtId="166" formatCode="_(* #,##0.0_);_(* \(#,##0.0\);_(* &quot;-&quot;??_);_(@_)"/>
  </numFmts>
  <fonts count="16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sz val="12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sz val="11"/>
      <name val="Arial"/>
      <family val="2"/>
    </font>
    <font>
      <b/>
      <sz val="8"/>
      <name val="Arial"/>
      <family val="2"/>
    </font>
    <font>
      <b/>
      <sz val="11"/>
      <color theme="1"/>
      <name val="Cambria"/>
      <family val="1"/>
      <scheme val="major"/>
    </font>
    <font>
      <sz val="11"/>
      <name val="Cambria"/>
      <family val="1"/>
      <scheme val="major"/>
    </font>
    <font>
      <u/>
      <sz val="11"/>
      <name val="Cambria"/>
      <family val="1"/>
      <scheme val="major"/>
    </font>
    <font>
      <b/>
      <sz val="12"/>
      <name val="Cambria"/>
      <family val="1"/>
      <scheme val="major"/>
    </font>
    <font>
      <b/>
      <sz val="11"/>
      <name val="Cambria"/>
      <family val="1"/>
      <scheme val="major"/>
    </font>
    <font>
      <sz val="11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2"/>
      <name val="Arial"/>
      <family val="2"/>
    </font>
    <font>
      <sz val="11"/>
      <name val="Calibri"/>
      <family val="2"/>
      <scheme val="minor"/>
    </font>
    <font>
      <sz val="10"/>
      <name val="Arial"/>
      <family val="2"/>
    </font>
    <font>
      <sz val="11"/>
      <color theme="0"/>
      <name val="Calibri"/>
      <family val="2"/>
      <scheme val="minor"/>
    </font>
    <font>
      <b/>
      <sz val="14"/>
      <name val="Bookman Old Style"/>
      <family val="1"/>
    </font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name val="Arial"/>
      <family val="2"/>
    </font>
    <font>
      <sz val="11"/>
      <name val="Cambria"/>
      <family val="1"/>
      <scheme val="major"/>
    </font>
    <font>
      <b/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theme="1"/>
      <name val="Bookman Old Style"/>
      <family val="1"/>
    </font>
    <font>
      <b/>
      <sz val="8"/>
      <name val="Arial"/>
      <family val="2"/>
    </font>
    <font>
      <b/>
      <sz val="12"/>
      <name val="Arial"/>
      <family val="2"/>
    </font>
    <font>
      <b/>
      <sz val="18"/>
      <color theme="1"/>
      <name val="Calibri"/>
      <family val="2"/>
      <scheme val="minor"/>
    </font>
    <font>
      <b/>
      <sz val="9"/>
      <name val="Arial"/>
      <family val="2"/>
    </font>
    <font>
      <b/>
      <sz val="13"/>
      <name val="Arial"/>
      <family val="2"/>
    </font>
    <font>
      <b/>
      <sz val="12"/>
      <color rgb="FFFF0000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Cambria"/>
      <family val="1"/>
      <scheme val="major"/>
    </font>
    <font>
      <b/>
      <sz val="13"/>
      <color rgb="FFFF0000"/>
      <name val="Arial"/>
      <family val="2"/>
    </font>
    <font>
      <b/>
      <sz val="8"/>
      <color rgb="FFFF0000"/>
      <name val="Arial"/>
      <family val="2"/>
    </font>
    <font>
      <b/>
      <sz val="20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Calibri"/>
      <family val="2"/>
      <scheme val="minor"/>
    </font>
    <font>
      <b/>
      <sz val="11"/>
      <name val="Bookman Old Style"/>
      <family val="1"/>
    </font>
    <font>
      <b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Arial"/>
      <family val="2"/>
    </font>
    <font>
      <sz val="13"/>
      <color rgb="FFFF0000"/>
      <name val="Arial"/>
      <family val="2"/>
    </font>
    <font>
      <sz val="8"/>
      <color rgb="FFFF0000"/>
      <name val="Arial"/>
      <family val="2"/>
    </font>
    <font>
      <b/>
      <sz val="12"/>
      <name val="Bookman Old Style"/>
      <family val="1"/>
    </font>
    <font>
      <b/>
      <sz val="14"/>
      <color theme="1"/>
      <name val="Bookman Old Style"/>
      <family val="1"/>
    </font>
    <font>
      <b/>
      <sz val="14"/>
      <color rgb="FFFF0000"/>
      <name val="Bookman Old Style"/>
      <family val="1"/>
    </font>
    <font>
      <sz val="10"/>
      <color rgb="FFFF0000"/>
      <name val="Arial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Bookman Old Style"/>
      <family val="1"/>
    </font>
    <font>
      <b/>
      <sz val="1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name val="Cambria"/>
      <family val="1"/>
      <scheme val="major"/>
    </font>
    <font>
      <b/>
      <sz val="14"/>
      <color theme="1"/>
      <name val="Power Geez Unicode1"/>
    </font>
    <font>
      <sz val="11"/>
      <color rgb="FF00B0F0"/>
      <name val="Calibri"/>
      <family val="2"/>
      <scheme val="minor"/>
    </font>
    <font>
      <b/>
      <sz val="9"/>
      <color rgb="FFFF0000"/>
      <name val="Arial"/>
      <family val="2"/>
    </font>
    <font>
      <sz val="11"/>
      <color theme="1"/>
      <name val="Cambria"/>
      <family val="1"/>
      <scheme val="major"/>
    </font>
    <font>
      <sz val="11"/>
      <color rgb="FFFF0000"/>
      <name val="Cambria"/>
      <family val="1"/>
      <scheme val="major"/>
    </font>
    <font>
      <sz val="14"/>
      <name val="Cambria"/>
      <family val="1"/>
      <scheme val="major"/>
    </font>
    <font>
      <b/>
      <sz val="16"/>
      <color theme="1"/>
      <name val="Cambria"/>
      <family val="1"/>
      <scheme val="major"/>
    </font>
    <font>
      <b/>
      <sz val="12"/>
      <color theme="1"/>
      <name val="Power Geez Unicode1"/>
    </font>
    <font>
      <b/>
      <sz val="16"/>
      <name val="Arial"/>
      <family val="2"/>
    </font>
    <font>
      <b/>
      <sz val="11"/>
      <name val="Arial Rounded MT Bold"/>
      <family val="2"/>
    </font>
    <font>
      <b/>
      <sz val="11"/>
      <color theme="1"/>
      <name val="Arial Rounded MT Bold"/>
      <family val="2"/>
    </font>
    <font>
      <b/>
      <sz val="11"/>
      <color rgb="FFFF0000"/>
      <name val="Arial Rounded MT Bold"/>
      <family val="2"/>
    </font>
    <font>
      <b/>
      <sz val="11"/>
      <color rgb="FF00B0F0"/>
      <name val="Arial Rounded MT Bold"/>
      <family val="2"/>
    </font>
    <font>
      <sz val="11"/>
      <color theme="1"/>
      <name val="Arial Rounded MT Bold"/>
      <family val="2"/>
    </font>
    <font>
      <b/>
      <sz val="12"/>
      <name val="Power Geez Unicode1"/>
    </font>
    <font>
      <b/>
      <sz val="12"/>
      <name val="Arial Rounded MT Bold"/>
      <family val="2"/>
    </font>
    <font>
      <b/>
      <sz val="12"/>
      <color theme="1"/>
      <name val="Arial Rounded MT Bold"/>
      <family val="2"/>
    </font>
    <font>
      <b/>
      <sz val="22"/>
      <color theme="1"/>
      <name val="Arial Rounded MT Bold"/>
      <family val="2"/>
    </font>
    <font>
      <b/>
      <sz val="14"/>
      <name val="Arial Rounded MT Bold"/>
      <family val="2"/>
    </font>
    <font>
      <sz val="14"/>
      <color theme="1"/>
      <name val="Bookman Old Style"/>
      <family val="1"/>
    </font>
    <font>
      <b/>
      <sz val="10"/>
      <color theme="1"/>
      <name val="Bookman Old Style"/>
      <family val="1"/>
    </font>
    <font>
      <sz val="12"/>
      <name val="Arial Rounded MT Bold"/>
      <family val="2"/>
    </font>
    <font>
      <sz val="13"/>
      <color theme="1"/>
      <name val="Power Geez Unicode1"/>
    </font>
    <font>
      <sz val="13"/>
      <color theme="1"/>
      <name val="Nyala"/>
    </font>
    <font>
      <b/>
      <sz val="12"/>
      <color rgb="FFFF0000"/>
      <name val="Arial Rounded MT Bold"/>
      <family val="2"/>
    </font>
    <font>
      <b/>
      <sz val="16"/>
      <color theme="1"/>
      <name val="Calibri"/>
      <family val="2"/>
      <scheme val="minor"/>
    </font>
    <font>
      <sz val="14"/>
      <name val="Bookman Old Style"/>
      <family val="1"/>
    </font>
    <font>
      <b/>
      <sz val="10"/>
      <name val="Arial Rounded MT Bold"/>
      <family val="2"/>
    </font>
    <font>
      <sz val="14"/>
      <color rgb="FFFF0000"/>
      <name val="Calibri"/>
      <family val="2"/>
      <scheme val="minor"/>
    </font>
    <font>
      <sz val="12"/>
      <name val="Bookman Old Style"/>
      <family val="1"/>
    </font>
    <font>
      <b/>
      <sz val="11"/>
      <color rgb="FF00B050"/>
      <name val="Arial Rounded MT Bold"/>
      <family val="2"/>
    </font>
    <font>
      <sz val="11"/>
      <color rgb="FF00B050"/>
      <name val="Calibri"/>
      <family val="2"/>
      <scheme val="minor"/>
    </font>
    <font>
      <b/>
      <sz val="12"/>
      <color rgb="FF00B050"/>
      <name val="Arial"/>
      <family val="2"/>
    </font>
    <font>
      <b/>
      <sz val="16"/>
      <name val="Bookman Old Style"/>
      <family val="1"/>
    </font>
    <font>
      <b/>
      <sz val="14"/>
      <name val="Power Geez Unicode1"/>
    </font>
    <font>
      <b/>
      <sz val="14"/>
      <name val="Addis98"/>
    </font>
    <font>
      <b/>
      <sz val="16"/>
      <name val="Cambria"/>
      <family val="1"/>
      <scheme val="major"/>
    </font>
    <font>
      <b/>
      <u/>
      <sz val="16"/>
      <name val="Cambria"/>
      <family val="1"/>
      <scheme val="major"/>
    </font>
    <font>
      <b/>
      <sz val="18"/>
      <color theme="1"/>
      <name val="Bookman Old Style"/>
      <family val="1"/>
    </font>
    <font>
      <b/>
      <sz val="26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b/>
      <sz val="20"/>
      <name val="Bookman Old Style"/>
      <family val="1"/>
    </font>
    <font>
      <sz val="12"/>
      <color theme="1"/>
      <name val="Cambria"/>
      <family val="1"/>
      <scheme val="major"/>
    </font>
    <font>
      <b/>
      <sz val="14"/>
      <color theme="1"/>
      <name val="Addis98"/>
    </font>
    <font>
      <b/>
      <sz val="14"/>
      <color rgb="FFFF0000"/>
      <name val="Addis98"/>
    </font>
    <font>
      <sz val="14"/>
      <color theme="1"/>
      <name val="Addis98"/>
    </font>
    <font>
      <b/>
      <u/>
      <sz val="14"/>
      <name val="Bookman Old Style"/>
      <family val="1"/>
    </font>
    <font>
      <b/>
      <sz val="18"/>
      <name val="Cambria"/>
      <family val="1"/>
      <scheme val="major"/>
    </font>
    <font>
      <b/>
      <sz val="16"/>
      <name val="Addis98"/>
    </font>
    <font>
      <b/>
      <sz val="18"/>
      <name val="Arial Rounded MT Bold"/>
      <family val="2"/>
    </font>
    <font>
      <b/>
      <sz val="14"/>
      <color theme="1"/>
      <name val="Arial"/>
      <family val="2"/>
    </font>
    <font>
      <b/>
      <sz val="16"/>
      <name val="Calibri"/>
      <family val="2"/>
      <scheme val="minor"/>
    </font>
    <font>
      <sz val="14"/>
      <name val="Arial"/>
      <family val="2"/>
    </font>
    <font>
      <b/>
      <sz val="9"/>
      <name val="Arial Rounded MT Bold"/>
      <family val="2"/>
    </font>
    <font>
      <sz val="9"/>
      <name val="Arial Rounded MT Bold"/>
      <family val="2"/>
    </font>
    <font>
      <b/>
      <sz val="18"/>
      <name val="Bookman Old Style"/>
      <family val="1"/>
    </font>
    <font>
      <b/>
      <sz val="12"/>
      <color rgb="FF00B050"/>
      <name val="Arial Rounded MT Bold"/>
      <family val="2"/>
    </font>
    <font>
      <b/>
      <sz val="12"/>
      <color rgb="FFFF0000"/>
      <name val="Cambria"/>
      <family val="1"/>
      <scheme val="major"/>
    </font>
    <font>
      <sz val="18"/>
      <color theme="1"/>
      <name val="Arial Rounded MT Bold"/>
      <family val="2"/>
    </font>
    <font>
      <b/>
      <sz val="18"/>
      <color theme="1"/>
      <name val="Arial Rounded MT Bold"/>
      <family val="2"/>
    </font>
    <font>
      <b/>
      <sz val="18"/>
      <color theme="1"/>
      <name val="Cambria"/>
      <family val="1"/>
      <scheme val="major"/>
    </font>
    <font>
      <sz val="18"/>
      <name val="Cambria"/>
      <family val="1"/>
      <scheme val="major"/>
    </font>
    <font>
      <b/>
      <sz val="14"/>
      <color rgb="FFFF0000"/>
      <name val="Arial"/>
      <family val="2"/>
    </font>
    <font>
      <b/>
      <sz val="18"/>
      <name val="Arial"/>
      <family val="2"/>
    </font>
    <font>
      <b/>
      <sz val="14"/>
      <color rgb="FF00B050"/>
      <name val="Arial"/>
      <family val="2"/>
    </font>
    <font>
      <sz val="18"/>
      <color theme="1"/>
      <name val="Bookman Old Style"/>
      <family val="1"/>
    </font>
    <font>
      <sz val="18"/>
      <name val="Bookman Old Style"/>
      <family val="1"/>
    </font>
    <font>
      <b/>
      <sz val="18"/>
      <name val="Addis98"/>
    </font>
    <font>
      <b/>
      <sz val="18"/>
      <name val="Calibri"/>
      <family val="2"/>
      <scheme val="minor"/>
    </font>
    <font>
      <b/>
      <sz val="22"/>
      <name val="Cambria"/>
      <family val="1"/>
      <scheme val="major"/>
    </font>
    <font>
      <b/>
      <sz val="24"/>
      <color theme="1"/>
      <name val="Bookman Old Style"/>
      <family val="1"/>
    </font>
    <font>
      <b/>
      <sz val="14"/>
      <color rgb="FFC00000"/>
      <name val="Arial"/>
      <family val="2"/>
    </font>
    <font>
      <b/>
      <sz val="12"/>
      <color rgb="FFC00000"/>
      <name val="Arial Rounded MT Bold"/>
      <family val="2"/>
    </font>
    <font>
      <b/>
      <sz val="14"/>
      <color theme="1"/>
      <name val="Arial Rounded MT Bold"/>
      <family val="2"/>
    </font>
    <font>
      <b/>
      <sz val="16"/>
      <name val="Arial Rounded MT Bold"/>
      <family val="2"/>
    </font>
    <font>
      <b/>
      <sz val="16"/>
      <color theme="1"/>
      <name val="Arial Rounded MT Bold"/>
      <family val="2"/>
    </font>
    <font>
      <sz val="14"/>
      <color theme="1"/>
      <name val="Arial"/>
      <family val="2"/>
    </font>
    <font>
      <sz val="14"/>
      <name val="Calibri"/>
      <family val="2"/>
      <scheme val="minor"/>
    </font>
    <font>
      <sz val="14"/>
      <color theme="1"/>
      <name val="Power Geez Unicode1"/>
    </font>
    <font>
      <sz val="14"/>
      <name val="Power Geez Unicode1"/>
    </font>
    <font>
      <sz val="12"/>
      <color rgb="FF00B050"/>
      <name val="Bookman Old Style"/>
      <family val="1"/>
    </font>
    <font>
      <sz val="12"/>
      <color theme="1"/>
      <name val="Bookman Old Style"/>
      <family val="1"/>
    </font>
    <font>
      <b/>
      <sz val="11"/>
      <color rgb="FF00B05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72">
    <border>
      <left/>
      <right/>
      <top/>
      <bottom/>
      <diagonal/>
    </border>
    <border>
      <left style="medium">
        <color auto="1"/>
      </left>
      <right/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/>
      <top style="thick">
        <color auto="1"/>
      </top>
      <bottom style="medium">
        <color auto="1"/>
      </bottom>
      <diagonal/>
    </border>
    <border>
      <left/>
      <right/>
      <top style="thick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ck">
        <color auto="1"/>
      </bottom>
      <diagonal/>
    </border>
    <border>
      <left/>
      <right style="thin">
        <color auto="1"/>
      </right>
      <top style="thick">
        <color auto="1"/>
      </top>
      <bottom style="medium">
        <color auto="1"/>
      </bottom>
      <diagonal/>
    </border>
    <border>
      <left/>
      <right style="thick">
        <color auto="1"/>
      </right>
      <top style="thick">
        <color auto="1"/>
      </top>
      <bottom/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ck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indexed="64"/>
      </bottom>
      <diagonal/>
    </border>
    <border>
      <left style="thin">
        <color auto="1"/>
      </left>
      <right/>
      <top style="thick">
        <color auto="1"/>
      </top>
      <bottom style="thin">
        <color indexed="64"/>
      </bottom>
      <diagonal/>
    </border>
    <border>
      <left/>
      <right/>
      <top style="thick">
        <color auto="1"/>
      </top>
      <bottom style="thin">
        <color indexed="64"/>
      </bottom>
      <diagonal/>
    </border>
    <border>
      <left/>
      <right style="thin">
        <color auto="1"/>
      </right>
      <top style="thick">
        <color auto="1"/>
      </top>
      <bottom style="thin">
        <color indexed="64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auto="1"/>
      </left>
      <right/>
      <top style="thick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40" fillId="0" borderId="0" applyFont="0" applyFill="0" applyBorder="0" applyAlignment="0" applyProtection="0"/>
    <xf numFmtId="0" fontId="38" fillId="4" borderId="0" applyNumberFormat="0" applyBorder="0" applyAlignment="0" applyProtection="0"/>
    <xf numFmtId="43" fontId="37" fillId="0" borderId="0" applyFont="0" applyFill="0" applyBorder="0" applyAlignment="0" applyProtection="0"/>
  </cellStyleXfs>
  <cellXfs count="822">
    <xf numFmtId="0" fontId="0" fillId="0" borderId="0" xfId="0"/>
    <xf numFmtId="164" fontId="14" fillId="2" borderId="5" xfId="1" applyNumberFormat="1" applyFont="1" applyFill="1" applyBorder="1"/>
    <xf numFmtId="43" fontId="15" fillId="2" borderId="5" xfId="1" applyFont="1" applyFill="1" applyBorder="1" applyAlignment="1">
      <alignment horizontal="left"/>
    </xf>
    <xf numFmtId="43" fontId="14" fillId="2" borderId="5" xfId="1" applyFont="1" applyFill="1" applyBorder="1" applyAlignment="1">
      <alignment horizontal="left"/>
    </xf>
    <xf numFmtId="164" fontId="0" fillId="0" borderId="0" xfId="1" applyNumberFormat="1" applyFont="1"/>
    <xf numFmtId="43" fontId="0" fillId="0" borderId="0" xfId="1" applyFont="1"/>
    <xf numFmtId="164" fontId="22" fillId="2" borderId="0" xfId="1" applyNumberFormat="1" applyFont="1" applyFill="1" applyBorder="1"/>
    <xf numFmtId="43" fontId="14" fillId="2" borderId="0" xfId="1" applyFont="1" applyFill="1" applyBorder="1"/>
    <xf numFmtId="0" fontId="22" fillId="2" borderId="0" xfId="0" applyNumberFormat="1" applyFont="1" applyFill="1" applyAlignment="1"/>
    <xf numFmtId="0" fontId="22" fillId="2" borderId="0" xfId="0" applyNumberFormat="1" applyFont="1" applyFill="1"/>
    <xf numFmtId="0" fontId="19" fillId="0" borderId="0" xfId="0" applyFont="1"/>
    <xf numFmtId="43" fontId="21" fillId="2" borderId="6" xfId="1" applyFont="1" applyFill="1" applyBorder="1" applyAlignment="1">
      <alignment horizontal="left" wrapText="1"/>
    </xf>
    <xf numFmtId="43" fontId="0" fillId="0" borderId="5" xfId="1" applyFont="1" applyBorder="1"/>
    <xf numFmtId="43" fontId="14" fillId="2" borderId="0" xfId="1" applyFont="1" applyFill="1" applyBorder="1" applyAlignment="1"/>
    <xf numFmtId="43" fontId="14" fillId="2" borderId="0" xfId="1" applyFont="1" applyFill="1" applyBorder="1" applyAlignment="1">
      <alignment horizontal="center"/>
    </xf>
    <xf numFmtId="0" fontId="14" fillId="2" borderId="0" xfId="0" applyNumberFormat="1" applyFont="1" applyFill="1"/>
    <xf numFmtId="43" fontId="0" fillId="2" borderId="0" xfId="1" applyFont="1" applyFill="1"/>
    <xf numFmtId="0" fontId="25" fillId="2" borderId="0" xfId="0" applyNumberFormat="1" applyFont="1" applyFill="1" applyAlignment="1">
      <alignment horizontal="left"/>
    </xf>
    <xf numFmtId="0" fontId="26" fillId="2" borderId="0" xfId="0" applyNumberFormat="1" applyFont="1" applyFill="1" applyAlignment="1">
      <alignment horizontal="left"/>
    </xf>
    <xf numFmtId="12" fontId="0" fillId="0" borderId="0" xfId="1" applyNumberFormat="1" applyFont="1"/>
    <xf numFmtId="12" fontId="0" fillId="2" borderId="0" xfId="1" applyNumberFormat="1" applyFont="1" applyFill="1"/>
    <xf numFmtId="43" fontId="16" fillId="2" borderId="0" xfId="1" applyFont="1" applyFill="1" applyBorder="1" applyAlignment="1">
      <alignment horizontal="center"/>
    </xf>
    <xf numFmtId="43" fontId="29" fillId="0" borderId="0" xfId="1" applyFont="1"/>
    <xf numFmtId="164" fontId="0" fillId="0" borderId="0" xfId="1" applyNumberFormat="1" applyFont="1" applyBorder="1" applyAlignment="1"/>
    <xf numFmtId="43" fontId="0" fillId="0" borderId="0" xfId="1" applyFont="1" applyBorder="1"/>
    <xf numFmtId="43" fontId="30" fillId="0" borderId="5" xfId="1" applyFont="1" applyBorder="1"/>
    <xf numFmtId="43" fontId="31" fillId="0" borderId="5" xfId="1" applyFont="1" applyBorder="1"/>
    <xf numFmtId="43" fontId="29" fillId="0" borderId="0" xfId="1" applyFont="1" applyBorder="1"/>
    <xf numFmtId="43" fontId="18" fillId="2" borderId="0" xfId="1" applyFont="1" applyFill="1" applyBorder="1" applyAlignment="1">
      <alignment horizontal="left"/>
    </xf>
    <xf numFmtId="43" fontId="18" fillId="2" borderId="0" xfId="1" applyFont="1" applyFill="1" applyBorder="1"/>
    <xf numFmtId="43" fontId="33" fillId="2" borderId="0" xfId="1" applyFont="1" applyFill="1" applyBorder="1"/>
    <xf numFmtId="43" fontId="22" fillId="2" borderId="0" xfId="1" applyFont="1" applyFill="1" applyBorder="1"/>
    <xf numFmtId="43" fontId="34" fillId="2" borderId="0" xfId="1" applyFont="1" applyFill="1" applyBorder="1"/>
    <xf numFmtId="0" fontId="22" fillId="2" borderId="0" xfId="0" applyNumberFormat="1" applyFont="1" applyFill="1" applyBorder="1"/>
    <xf numFmtId="0" fontId="35" fillId="2" borderId="0" xfId="0" applyNumberFormat="1" applyFont="1" applyFill="1"/>
    <xf numFmtId="43" fontId="14" fillId="2" borderId="0" xfId="0" applyNumberFormat="1" applyFont="1" applyFill="1"/>
    <xf numFmtId="1" fontId="16" fillId="2" borderId="0" xfId="0" applyNumberFormat="1" applyFont="1" applyFill="1" applyBorder="1" applyAlignment="1">
      <alignment horizontal="center"/>
    </xf>
    <xf numFmtId="0" fontId="16" fillId="2" borderId="0" xfId="0" applyNumberFormat="1" applyFont="1" applyFill="1"/>
    <xf numFmtId="43" fontId="36" fillId="2" borderId="0" xfId="1" applyFont="1" applyFill="1"/>
    <xf numFmtId="12" fontId="36" fillId="2" borderId="0" xfId="1" applyNumberFormat="1" applyFont="1" applyFill="1"/>
    <xf numFmtId="43" fontId="0" fillId="2" borderId="0" xfId="1" applyFont="1" applyFill="1" applyBorder="1"/>
    <xf numFmtId="0" fontId="43" fillId="2" borderId="0" xfId="0" applyNumberFormat="1" applyFont="1" applyFill="1" applyAlignment="1">
      <alignment horizontal="left"/>
    </xf>
    <xf numFmtId="43" fontId="41" fillId="2" borderId="0" xfId="0" applyNumberFormat="1" applyFont="1" applyFill="1" applyAlignment="1">
      <alignment horizontal="left"/>
    </xf>
    <xf numFmtId="13" fontId="12" fillId="0" borderId="0" xfId="1" applyNumberFormat="1" applyFont="1"/>
    <xf numFmtId="0" fontId="41" fillId="2" borderId="0" xfId="0" applyNumberFormat="1" applyFont="1" applyFill="1" applyAlignment="1">
      <alignment horizontal="left"/>
    </xf>
    <xf numFmtId="0" fontId="41" fillId="2" borderId="0" xfId="0" applyNumberFormat="1" applyFont="1" applyFill="1" applyBorder="1" applyAlignment="1">
      <alignment horizontal="left"/>
    </xf>
    <xf numFmtId="43" fontId="46" fillId="0" borderId="0" xfId="1" applyFont="1" applyAlignment="1">
      <alignment horizontal="left"/>
    </xf>
    <xf numFmtId="0" fontId="50" fillId="2" borderId="0" xfId="0" applyNumberFormat="1" applyFont="1" applyFill="1" applyAlignment="1">
      <alignment horizontal="left"/>
    </xf>
    <xf numFmtId="43" fontId="41" fillId="2" borderId="0" xfId="1" applyFont="1" applyFill="1" applyBorder="1"/>
    <xf numFmtId="164" fontId="46" fillId="0" borderId="0" xfId="1" applyNumberFormat="1" applyFont="1"/>
    <xf numFmtId="43" fontId="46" fillId="0" borderId="0" xfId="1" applyFont="1"/>
    <xf numFmtId="43" fontId="47" fillId="0" borderId="5" xfId="1" applyFont="1" applyBorder="1" applyAlignment="1">
      <alignment horizontal="left"/>
    </xf>
    <xf numFmtId="43" fontId="41" fillId="2" borderId="6" xfId="1" applyFont="1" applyFill="1" applyBorder="1" applyAlignment="1">
      <alignment horizontal="left" wrapText="1"/>
    </xf>
    <xf numFmtId="0" fontId="41" fillId="0" borderId="6" xfId="0" applyFont="1" applyFill="1" applyBorder="1" applyAlignment="1">
      <alignment horizontal="left" wrapText="1"/>
    </xf>
    <xf numFmtId="3" fontId="41" fillId="2" borderId="28" xfId="1" applyNumberFormat="1" applyFont="1" applyFill="1" applyBorder="1" applyAlignment="1">
      <alignment horizontal="left"/>
    </xf>
    <xf numFmtId="43" fontId="41" fillId="2" borderId="28" xfId="1" applyFont="1" applyFill="1" applyBorder="1" applyAlignment="1">
      <alignment horizontal="left"/>
    </xf>
    <xf numFmtId="164" fontId="41" fillId="2" borderId="0" xfId="1" applyNumberFormat="1" applyFont="1" applyFill="1" applyBorder="1" applyAlignment="1">
      <alignment horizontal="left"/>
    </xf>
    <xf numFmtId="43" fontId="41" fillId="2" borderId="0" xfId="1" applyFont="1" applyFill="1" applyBorder="1" applyAlignment="1">
      <alignment horizontal="left"/>
    </xf>
    <xf numFmtId="43" fontId="50" fillId="2" borderId="0" xfId="1" applyFont="1" applyFill="1" applyBorder="1" applyAlignment="1">
      <alignment horizontal="left"/>
    </xf>
    <xf numFmtId="0" fontId="46" fillId="0" borderId="0" xfId="0" applyFont="1" applyAlignment="1">
      <alignment horizontal="left"/>
    </xf>
    <xf numFmtId="1" fontId="50" fillId="2" borderId="0" xfId="0" applyNumberFormat="1" applyFont="1" applyFill="1" applyBorder="1" applyAlignment="1">
      <alignment horizontal="left"/>
    </xf>
    <xf numFmtId="164" fontId="41" fillId="2" borderId="27" xfId="1" applyNumberFormat="1" applyFont="1" applyFill="1" applyBorder="1" applyAlignment="1">
      <alignment horizontal="left"/>
    </xf>
    <xf numFmtId="43" fontId="46" fillId="0" borderId="32" xfId="1" applyFont="1" applyBorder="1" applyAlignment="1">
      <alignment horizontal="left"/>
    </xf>
    <xf numFmtId="43" fontId="47" fillId="2" borderId="0" xfId="1" applyFont="1" applyFill="1" applyBorder="1" applyAlignment="1">
      <alignment horizontal="left"/>
    </xf>
    <xf numFmtId="164" fontId="41" fillId="2" borderId="0" xfId="1" applyNumberFormat="1" applyFont="1" applyFill="1" applyBorder="1"/>
    <xf numFmtId="43" fontId="41" fillId="2" borderId="0" xfId="1" applyFont="1" applyFill="1" applyBorder="1" applyAlignment="1"/>
    <xf numFmtId="43" fontId="41" fillId="2" borderId="0" xfId="1" applyFont="1" applyFill="1" applyBorder="1" applyAlignment="1">
      <alignment horizontal="center"/>
    </xf>
    <xf numFmtId="43" fontId="50" fillId="2" borderId="0" xfId="1" applyFont="1" applyFill="1" applyBorder="1" applyAlignment="1">
      <alignment horizontal="center"/>
    </xf>
    <xf numFmtId="164" fontId="11" fillId="0" borderId="0" xfId="1" applyNumberFormat="1" applyFont="1"/>
    <xf numFmtId="43" fontId="11" fillId="0" borderId="0" xfId="1" applyFont="1"/>
    <xf numFmtId="43" fontId="42" fillId="2" borderId="0" xfId="1" applyFont="1" applyFill="1" applyBorder="1" applyAlignment="1">
      <alignment horizontal="left"/>
    </xf>
    <xf numFmtId="43" fontId="42" fillId="2" borderId="0" xfId="1" applyFont="1" applyFill="1" applyBorder="1"/>
    <xf numFmtId="43" fontId="42" fillId="2" borderId="0" xfId="1" applyFont="1" applyFill="1" applyBorder="1" applyAlignment="1"/>
    <xf numFmtId="43" fontId="42" fillId="2" borderId="0" xfId="1" applyFont="1" applyFill="1" applyBorder="1" applyAlignment="1">
      <alignment horizontal="center"/>
    </xf>
    <xf numFmtId="43" fontId="57" fillId="2" borderId="0" xfId="1" applyFont="1" applyFill="1" applyBorder="1" applyAlignment="1">
      <alignment horizontal="center"/>
    </xf>
    <xf numFmtId="164" fontId="57" fillId="2" borderId="0" xfId="1" applyNumberFormat="1" applyFont="1" applyFill="1" applyBorder="1"/>
    <xf numFmtId="164" fontId="58" fillId="0" borderId="0" xfId="1" applyNumberFormat="1" applyFont="1"/>
    <xf numFmtId="43" fontId="14" fillId="2" borderId="5" xfId="1" applyFont="1" applyFill="1" applyBorder="1" applyAlignment="1">
      <alignment horizontal="left" wrapText="1"/>
    </xf>
    <xf numFmtId="43" fontId="36" fillId="3" borderId="0" xfId="1" applyFont="1" applyFill="1"/>
    <xf numFmtId="43" fontId="29" fillId="2" borderId="0" xfId="1" applyFont="1" applyFill="1"/>
    <xf numFmtId="12" fontId="29" fillId="2" borderId="0" xfId="1" applyNumberFormat="1" applyFont="1" applyFill="1"/>
    <xf numFmtId="43" fontId="56" fillId="2" borderId="0" xfId="1" applyFont="1" applyFill="1" applyBorder="1" applyAlignment="1">
      <alignment horizontal="left"/>
    </xf>
    <xf numFmtId="43" fontId="42" fillId="2" borderId="38" xfId="1" applyFont="1" applyFill="1" applyBorder="1" applyAlignment="1">
      <alignment horizontal="left"/>
    </xf>
    <xf numFmtId="43" fontId="53" fillId="2" borderId="25" xfId="1" applyFont="1" applyFill="1" applyBorder="1" applyAlignment="1">
      <alignment horizontal="left"/>
    </xf>
    <xf numFmtId="43" fontId="49" fillId="2" borderId="25" xfId="1" applyFont="1" applyFill="1" applyBorder="1" applyAlignment="1">
      <alignment horizontal="left"/>
    </xf>
    <xf numFmtId="43" fontId="50" fillId="2" borderId="25" xfId="1" applyFont="1" applyFill="1" applyBorder="1" applyAlignment="1">
      <alignment horizontal="left"/>
    </xf>
    <xf numFmtId="43" fontId="0" fillId="2" borderId="5" xfId="1" applyFont="1" applyFill="1" applyBorder="1"/>
    <xf numFmtId="12" fontId="0" fillId="2" borderId="5" xfId="1" applyNumberFormat="1" applyFont="1" applyFill="1" applyBorder="1"/>
    <xf numFmtId="43" fontId="35" fillId="2" borderId="25" xfId="1" applyFont="1" applyFill="1" applyBorder="1" applyAlignment="1">
      <alignment horizontal="left"/>
    </xf>
    <xf numFmtId="0" fontId="15" fillId="2" borderId="5" xfId="1" applyNumberFormat="1" applyFont="1" applyFill="1" applyBorder="1" applyAlignment="1">
      <alignment horizontal="left"/>
    </xf>
    <xf numFmtId="43" fontId="54" fillId="2" borderId="25" xfId="1" applyFont="1" applyFill="1" applyBorder="1" applyAlignment="1">
      <alignment horizontal="left"/>
    </xf>
    <xf numFmtId="43" fontId="14" fillId="2" borderId="6" xfId="1" applyFont="1" applyFill="1" applyBorder="1" applyAlignment="1">
      <alignment horizontal="left" wrapText="1"/>
    </xf>
    <xf numFmtId="164" fontId="14" fillId="2" borderId="17" xfId="1" applyNumberFormat="1" applyFont="1" applyFill="1" applyBorder="1" applyAlignment="1">
      <alignment horizontal="left"/>
    </xf>
    <xf numFmtId="0" fontId="14" fillId="2" borderId="5" xfId="1" applyNumberFormat="1" applyFont="1" applyFill="1" applyBorder="1" applyAlignment="1">
      <alignment horizontal="left"/>
    </xf>
    <xf numFmtId="43" fontId="55" fillId="2" borderId="5" xfId="1" applyFont="1" applyFill="1" applyBorder="1" applyAlignment="1">
      <alignment horizontal="left"/>
    </xf>
    <xf numFmtId="43" fontId="16" fillId="2" borderId="25" xfId="1" applyFont="1" applyFill="1" applyBorder="1" applyAlignment="1">
      <alignment horizontal="left"/>
    </xf>
    <xf numFmtId="43" fontId="14" fillId="2" borderId="26" xfId="1" applyFont="1" applyFill="1" applyBorder="1" applyAlignment="1">
      <alignment horizontal="left"/>
    </xf>
    <xf numFmtId="43" fontId="15" fillId="2" borderId="39" xfId="1" applyFont="1" applyFill="1" applyBorder="1" applyAlignment="1">
      <alignment horizontal="left"/>
    </xf>
    <xf numFmtId="43" fontId="14" fillId="2" borderId="39" xfId="1" applyFont="1" applyFill="1" applyBorder="1" applyAlignment="1">
      <alignment horizontal="left"/>
    </xf>
    <xf numFmtId="43" fontId="20" fillId="0" borderId="5" xfId="1" applyFont="1" applyBorder="1"/>
    <xf numFmtId="164" fontId="32" fillId="0" borderId="0" xfId="1" applyNumberFormat="1" applyFont="1" applyBorder="1" applyAlignment="1"/>
    <xf numFmtId="43" fontId="32" fillId="0" borderId="0" xfId="1" applyFont="1"/>
    <xf numFmtId="43" fontId="24" fillId="0" borderId="0" xfId="1" applyFont="1" applyAlignment="1">
      <alignment horizontal="left"/>
    </xf>
    <xf numFmtId="164" fontId="14" fillId="2" borderId="0" xfId="1" applyNumberFormat="1" applyFont="1" applyFill="1" applyBorder="1"/>
    <xf numFmtId="43" fontId="34" fillId="0" borderId="0" xfId="1" applyFont="1" applyFill="1" applyBorder="1"/>
    <xf numFmtId="43" fontId="17" fillId="2" borderId="25" xfId="1" applyFont="1" applyFill="1" applyBorder="1" applyAlignment="1">
      <alignment horizontal="left"/>
    </xf>
    <xf numFmtId="43" fontId="65" fillId="2" borderId="5" xfId="1" applyFont="1" applyFill="1" applyBorder="1" applyAlignment="1">
      <alignment horizontal="left"/>
    </xf>
    <xf numFmtId="4" fontId="14" fillId="2" borderId="5" xfId="1" applyNumberFormat="1" applyFont="1" applyFill="1" applyBorder="1" applyAlignment="1">
      <alignment horizontal="left"/>
    </xf>
    <xf numFmtId="43" fontId="15" fillId="2" borderId="0" xfId="1" applyFont="1" applyFill="1" applyBorder="1"/>
    <xf numFmtId="43" fontId="15" fillId="2" borderId="0" xfId="1" applyFont="1" applyFill="1" applyBorder="1" applyAlignment="1">
      <alignment horizontal="left"/>
    </xf>
    <xf numFmtId="43" fontId="9" fillId="0" borderId="0" xfId="1" applyFont="1"/>
    <xf numFmtId="0" fontId="41" fillId="2" borderId="51" xfId="0" applyNumberFormat="1" applyFont="1" applyFill="1" applyBorder="1" applyAlignment="1">
      <alignment horizontal="left"/>
    </xf>
    <xf numFmtId="43" fontId="66" fillId="0" borderId="5" xfId="1" applyFont="1" applyBorder="1"/>
    <xf numFmtId="43" fontId="16" fillId="2" borderId="5" xfId="1" applyFont="1" applyFill="1" applyBorder="1" applyAlignment="1">
      <alignment horizontal="left"/>
    </xf>
    <xf numFmtId="43" fontId="68" fillId="2" borderId="0" xfId="1" applyFont="1" applyFill="1"/>
    <xf numFmtId="12" fontId="68" fillId="2" borderId="0" xfId="1" applyNumberFormat="1" applyFont="1" applyFill="1"/>
    <xf numFmtId="43" fontId="68" fillId="0" borderId="0" xfId="1" applyFont="1"/>
    <xf numFmtId="43" fontId="69" fillId="2" borderId="25" xfId="1" applyFont="1" applyFill="1" applyBorder="1" applyAlignment="1">
      <alignment horizontal="left"/>
    </xf>
    <xf numFmtId="43" fontId="70" fillId="2" borderId="25" xfId="1" applyFont="1" applyFill="1" applyBorder="1" applyAlignment="1">
      <alignment horizontal="left"/>
    </xf>
    <xf numFmtId="43" fontId="71" fillId="2" borderId="25" xfId="1" applyFont="1" applyFill="1" applyBorder="1" applyAlignment="1">
      <alignment horizontal="left"/>
    </xf>
    <xf numFmtId="43" fontId="69" fillId="2" borderId="42" xfId="1" applyFont="1" applyFill="1" applyBorder="1" applyAlignment="1">
      <alignment horizontal="left"/>
    </xf>
    <xf numFmtId="43" fontId="34" fillId="2" borderId="0" xfId="1" applyFont="1" applyFill="1" applyBorder="1" applyAlignment="1">
      <alignment horizontal="left"/>
    </xf>
    <xf numFmtId="43" fontId="36" fillId="2" borderId="0" xfId="1" applyFont="1" applyFill="1" applyBorder="1"/>
    <xf numFmtId="12" fontId="36" fillId="2" borderId="0" xfId="1" applyNumberFormat="1" applyFont="1" applyFill="1" applyBorder="1"/>
    <xf numFmtId="43" fontId="36" fillId="3" borderId="5" xfId="1" applyFont="1" applyFill="1" applyBorder="1"/>
    <xf numFmtId="43" fontId="36" fillId="3" borderId="0" xfId="1" applyFont="1" applyFill="1" applyBorder="1"/>
    <xf numFmtId="3" fontId="14" fillId="2" borderId="5" xfId="1" applyNumberFormat="1" applyFont="1" applyFill="1" applyBorder="1" applyAlignment="1">
      <alignment horizontal="left"/>
    </xf>
    <xf numFmtId="43" fontId="68" fillId="2" borderId="0" xfId="1" applyFont="1" applyFill="1" applyBorder="1"/>
    <xf numFmtId="43" fontId="68" fillId="0" borderId="0" xfId="1" applyFont="1" applyFill="1"/>
    <xf numFmtId="43" fontId="72" fillId="2" borderId="5" xfId="1" applyFont="1" applyFill="1" applyBorder="1" applyAlignment="1">
      <alignment horizontal="left"/>
    </xf>
    <xf numFmtId="43" fontId="72" fillId="2" borderId="5" xfId="1" applyFont="1" applyFill="1" applyBorder="1"/>
    <xf numFmtId="43" fontId="72" fillId="2" borderId="39" xfId="1" applyFont="1" applyFill="1" applyBorder="1" applyAlignment="1">
      <alignment horizontal="left"/>
    </xf>
    <xf numFmtId="43" fontId="28" fillId="2" borderId="26" xfId="1" applyFont="1" applyFill="1" applyBorder="1" applyAlignment="1">
      <alignment horizontal="left"/>
    </xf>
    <xf numFmtId="0" fontId="15" fillId="2" borderId="39" xfId="1" applyNumberFormat="1" applyFont="1" applyFill="1" applyBorder="1" applyAlignment="1">
      <alignment horizontal="left"/>
    </xf>
    <xf numFmtId="43" fontId="16" fillId="2" borderId="39" xfId="1" applyFont="1" applyFill="1" applyBorder="1" applyAlignment="1">
      <alignment horizontal="left"/>
    </xf>
    <xf numFmtId="43" fontId="0" fillId="2" borderId="6" xfId="1" applyFont="1" applyFill="1" applyBorder="1"/>
    <xf numFmtId="12" fontId="0" fillId="2" borderId="6" xfId="1" applyNumberFormat="1" applyFont="1" applyFill="1" applyBorder="1"/>
    <xf numFmtId="0" fontId="30" fillId="0" borderId="0" xfId="0" applyFont="1" applyAlignment="1">
      <alignment horizontal="left"/>
    </xf>
    <xf numFmtId="0" fontId="13" fillId="2" borderId="0" xfId="0" applyNumberFormat="1" applyFont="1" applyFill="1" applyAlignment="1">
      <alignment horizontal="left"/>
    </xf>
    <xf numFmtId="0" fontId="13" fillId="2" borderId="0" xfId="0" applyNumberFormat="1" applyFont="1" applyFill="1" applyBorder="1" applyAlignment="1">
      <alignment horizontal="left"/>
    </xf>
    <xf numFmtId="43" fontId="13" fillId="2" borderId="0" xfId="0" applyNumberFormat="1" applyFont="1" applyFill="1" applyAlignment="1">
      <alignment horizontal="left"/>
    </xf>
    <xf numFmtId="43" fontId="19" fillId="0" borderId="0" xfId="1" applyFont="1"/>
    <xf numFmtId="1" fontId="13" fillId="2" borderId="0" xfId="0" applyNumberFormat="1" applyFont="1" applyFill="1" applyBorder="1" applyAlignment="1">
      <alignment horizontal="left"/>
    </xf>
    <xf numFmtId="43" fontId="39" fillId="2" borderId="5" xfId="1" applyFont="1" applyFill="1" applyBorder="1" applyAlignment="1">
      <alignment horizontal="left"/>
    </xf>
    <xf numFmtId="43" fontId="16" fillId="2" borderId="6" xfId="1" applyFont="1" applyFill="1" applyBorder="1" applyAlignment="1">
      <alignment horizontal="left"/>
    </xf>
    <xf numFmtId="43" fontId="36" fillId="2" borderId="5" xfId="1" applyFont="1" applyFill="1" applyBorder="1"/>
    <xf numFmtId="43" fontId="36" fillId="2" borderId="52" xfId="1" applyFont="1" applyFill="1" applyBorder="1"/>
    <xf numFmtId="43" fontId="72" fillId="2" borderId="26" xfId="1" applyFont="1" applyFill="1" applyBorder="1" applyAlignment="1">
      <alignment horizontal="left"/>
    </xf>
    <xf numFmtId="43" fontId="73" fillId="2" borderId="5" xfId="1" applyFont="1" applyFill="1" applyBorder="1" applyAlignment="1">
      <alignment horizontal="left"/>
    </xf>
    <xf numFmtId="43" fontId="73" fillId="2" borderId="26" xfId="1" applyFont="1" applyFill="1" applyBorder="1" applyAlignment="1">
      <alignment horizontal="left"/>
    </xf>
    <xf numFmtId="43" fontId="73" fillId="2" borderId="38" xfId="1" applyFont="1" applyFill="1" applyBorder="1" applyAlignment="1">
      <alignment horizontal="left"/>
    </xf>
    <xf numFmtId="43" fontId="73" fillId="2" borderId="39" xfId="1" applyFont="1" applyFill="1" applyBorder="1" applyAlignment="1">
      <alignment horizontal="left"/>
    </xf>
    <xf numFmtId="164" fontId="17" fillId="2" borderId="6" xfId="1" applyNumberFormat="1" applyFont="1" applyFill="1" applyBorder="1" applyAlignment="1">
      <alignment horizontal="left"/>
    </xf>
    <xf numFmtId="43" fontId="72" fillId="2" borderId="6" xfId="1" applyFont="1" applyFill="1" applyBorder="1" applyAlignment="1">
      <alignment horizontal="left"/>
    </xf>
    <xf numFmtId="43" fontId="72" fillId="2" borderId="38" xfId="1" applyFont="1" applyFill="1" applyBorder="1" applyAlignment="1">
      <alignment horizontal="left"/>
    </xf>
    <xf numFmtId="43" fontId="67" fillId="3" borderId="0" xfId="1" applyFont="1" applyFill="1"/>
    <xf numFmtId="43" fontId="0" fillId="3" borderId="0" xfId="1" applyFont="1" applyFill="1"/>
    <xf numFmtId="164" fontId="14" fillId="2" borderId="50" xfId="1" applyNumberFormat="1" applyFont="1" applyFill="1" applyBorder="1" applyAlignment="1">
      <alignment horizontal="left"/>
    </xf>
    <xf numFmtId="43" fontId="54" fillId="2" borderId="55" xfId="1" applyFont="1" applyFill="1" applyBorder="1" applyAlignment="1">
      <alignment horizontal="left"/>
    </xf>
    <xf numFmtId="43" fontId="8" fillId="0" borderId="0" xfId="1" applyFont="1"/>
    <xf numFmtId="43" fontId="48" fillId="2" borderId="5" xfId="1" applyFont="1" applyFill="1" applyBorder="1" applyAlignment="1">
      <alignment horizontal="left"/>
    </xf>
    <xf numFmtId="2" fontId="29" fillId="0" borderId="0" xfId="1" applyNumberFormat="1" applyFont="1"/>
    <xf numFmtId="43" fontId="29" fillId="2" borderId="0" xfId="1" applyFont="1" applyFill="1" applyBorder="1"/>
    <xf numFmtId="43" fontId="75" fillId="2" borderId="0" xfId="1" applyFont="1" applyFill="1" applyBorder="1"/>
    <xf numFmtId="43" fontId="0" fillId="0" borderId="0" xfId="0" applyNumberFormat="1"/>
    <xf numFmtId="49" fontId="0" fillId="0" borderId="0" xfId="0" applyNumberFormat="1"/>
    <xf numFmtId="43" fontId="79" fillId="0" borderId="0" xfId="1" applyFont="1"/>
    <xf numFmtId="43" fontId="27" fillId="2" borderId="26" xfId="1" applyFont="1" applyFill="1" applyBorder="1" applyAlignment="1">
      <alignment horizontal="left"/>
    </xf>
    <xf numFmtId="43" fontId="72" fillId="0" borderId="5" xfId="1" applyFont="1" applyFill="1" applyBorder="1" applyAlignment="1">
      <alignment horizontal="left"/>
    </xf>
    <xf numFmtId="43" fontId="72" fillId="2" borderId="39" xfId="1" applyFont="1" applyFill="1" applyBorder="1"/>
    <xf numFmtId="49" fontId="27" fillId="2" borderId="5" xfId="1" applyNumberFormat="1" applyFont="1" applyFill="1" applyBorder="1" applyAlignment="1">
      <alignment horizontal="left"/>
    </xf>
    <xf numFmtId="43" fontId="72" fillId="5" borderId="39" xfId="1" applyFont="1" applyFill="1" applyBorder="1" applyAlignment="1">
      <alignment horizontal="left"/>
    </xf>
    <xf numFmtId="43" fontId="72" fillId="5" borderId="5" xfId="1" applyFont="1" applyFill="1" applyBorder="1" applyAlignment="1">
      <alignment horizontal="left"/>
    </xf>
    <xf numFmtId="43" fontId="80" fillId="2" borderId="5" xfId="1" applyFont="1" applyFill="1" applyBorder="1" applyAlignment="1">
      <alignment horizontal="left"/>
    </xf>
    <xf numFmtId="43" fontId="27" fillId="2" borderId="5" xfId="1" applyFont="1" applyFill="1" applyBorder="1" applyAlignment="1">
      <alignment horizontal="left"/>
    </xf>
    <xf numFmtId="49" fontId="16" fillId="2" borderId="6" xfId="1" applyNumberFormat="1" applyFont="1" applyFill="1" applyBorder="1" applyAlignment="1">
      <alignment horizontal="left"/>
    </xf>
    <xf numFmtId="49" fontId="16" fillId="2" borderId="5" xfId="1" applyNumberFormat="1" applyFont="1" applyFill="1" applyBorder="1" applyAlignment="1">
      <alignment horizontal="left"/>
    </xf>
    <xf numFmtId="49" fontId="16" fillId="0" borderId="5" xfId="1" applyNumberFormat="1" applyFont="1" applyFill="1" applyBorder="1" applyAlignment="1">
      <alignment horizontal="left"/>
    </xf>
    <xf numFmtId="43" fontId="14" fillId="2" borderId="25" xfId="1" applyFont="1" applyFill="1" applyBorder="1" applyAlignment="1">
      <alignment horizontal="left"/>
    </xf>
    <xf numFmtId="43" fontId="0" fillId="3" borderId="0" xfId="1" applyFont="1" applyFill="1" applyBorder="1"/>
    <xf numFmtId="43" fontId="29" fillId="6" borderId="0" xfId="1" applyFont="1" applyFill="1"/>
    <xf numFmtId="12" fontId="29" fillId="6" borderId="0" xfId="1" applyNumberFormat="1" applyFont="1" applyFill="1"/>
    <xf numFmtId="43" fontId="36" fillId="6" borderId="0" xfId="1" applyFont="1" applyFill="1"/>
    <xf numFmtId="12" fontId="36" fillId="6" borderId="0" xfId="1" applyNumberFormat="1" applyFont="1" applyFill="1"/>
    <xf numFmtId="43" fontId="64" fillId="6" borderId="0" xfId="1" applyFont="1" applyFill="1"/>
    <xf numFmtId="12" fontId="64" fillId="6" borderId="0" xfId="1" applyNumberFormat="1" applyFont="1" applyFill="1"/>
    <xf numFmtId="43" fontId="82" fillId="2" borderId="0" xfId="1" applyFont="1" applyFill="1"/>
    <xf numFmtId="12" fontId="82" fillId="2" borderId="0" xfId="1" applyNumberFormat="1" applyFont="1" applyFill="1"/>
    <xf numFmtId="43" fontId="7" fillId="0" borderId="0" xfId="1" applyFont="1"/>
    <xf numFmtId="0" fontId="29" fillId="0" borderId="0" xfId="0" applyFont="1"/>
    <xf numFmtId="43" fontId="69" fillId="2" borderId="44" xfId="1" applyFont="1" applyFill="1" applyBorder="1" applyAlignment="1">
      <alignment horizontal="left"/>
    </xf>
    <xf numFmtId="43" fontId="29" fillId="3" borderId="0" xfId="1" applyFont="1" applyFill="1" applyBorder="1"/>
    <xf numFmtId="0" fontId="14" fillId="2" borderId="38" xfId="1" applyNumberFormat="1" applyFont="1" applyFill="1" applyBorder="1" applyAlignment="1">
      <alignment horizontal="left"/>
    </xf>
    <xf numFmtId="43" fontId="60" fillId="2" borderId="25" xfId="1" applyFont="1" applyFill="1" applyBorder="1" applyAlignment="1">
      <alignment horizontal="left"/>
    </xf>
    <xf numFmtId="43" fontId="61" fillId="2" borderId="25" xfId="1" applyFont="1" applyFill="1" applyBorder="1" applyAlignment="1">
      <alignment horizontal="left"/>
    </xf>
    <xf numFmtId="12" fontId="29" fillId="2" borderId="0" xfId="1" applyNumberFormat="1" applyFont="1" applyFill="1" applyBorder="1"/>
    <xf numFmtId="43" fontId="29" fillId="2" borderId="52" xfId="1" applyFont="1" applyFill="1" applyBorder="1"/>
    <xf numFmtId="43" fontId="29" fillId="2" borderId="5" xfId="1" applyFont="1" applyFill="1" applyBorder="1"/>
    <xf numFmtId="0" fontId="14" fillId="2" borderId="53" xfId="1" applyNumberFormat="1" applyFont="1" applyFill="1" applyBorder="1" applyAlignment="1">
      <alignment horizontal="left"/>
    </xf>
    <xf numFmtId="0" fontId="35" fillId="2" borderId="0" xfId="0" applyNumberFormat="1" applyFont="1" applyFill="1" applyBorder="1"/>
    <xf numFmtId="43" fontId="77" fillId="2" borderId="5" xfId="1" applyFont="1" applyFill="1" applyBorder="1" applyAlignment="1">
      <alignment horizontal="left"/>
    </xf>
    <xf numFmtId="43" fontId="0" fillId="2" borderId="39" xfId="1" applyFont="1" applyFill="1" applyBorder="1"/>
    <xf numFmtId="12" fontId="0" fillId="2" borderId="39" xfId="1" applyNumberFormat="1" applyFont="1" applyFill="1" applyBorder="1"/>
    <xf numFmtId="43" fontId="81" fillId="2" borderId="5" xfId="1" applyFont="1" applyFill="1" applyBorder="1" applyAlignment="1">
      <alignment horizontal="left"/>
    </xf>
    <xf numFmtId="43" fontId="28" fillId="2" borderId="5" xfId="2" applyNumberFormat="1" applyFont="1" applyFill="1" applyBorder="1" applyAlignment="1">
      <alignment horizontal="left"/>
    </xf>
    <xf numFmtId="4" fontId="15" fillId="2" borderId="5" xfId="1" applyNumberFormat="1" applyFont="1" applyFill="1" applyBorder="1" applyAlignment="1">
      <alignment horizontal="left"/>
    </xf>
    <xf numFmtId="3" fontId="15" fillId="2" borderId="5" xfId="1" applyNumberFormat="1" applyFont="1" applyFill="1" applyBorder="1" applyAlignment="1">
      <alignment horizontal="left"/>
    </xf>
    <xf numFmtId="49" fontId="16" fillId="2" borderId="39" xfId="1" applyNumberFormat="1" applyFont="1" applyFill="1" applyBorder="1" applyAlignment="1">
      <alignment horizontal="left"/>
    </xf>
    <xf numFmtId="43" fontId="30" fillId="0" borderId="39" xfId="1" applyFont="1" applyBorder="1"/>
    <xf numFmtId="43" fontId="22" fillId="2" borderId="45" xfId="1" applyFont="1" applyFill="1" applyBorder="1" applyAlignment="1">
      <alignment horizontal="left"/>
    </xf>
    <xf numFmtId="0" fontId="41" fillId="2" borderId="5" xfId="0" applyNumberFormat="1" applyFont="1" applyFill="1" applyBorder="1" applyAlignment="1">
      <alignment horizontal="left"/>
    </xf>
    <xf numFmtId="43" fontId="41" fillId="2" borderId="5" xfId="0" applyNumberFormat="1" applyFont="1" applyFill="1" applyBorder="1" applyAlignment="1">
      <alignment horizontal="left"/>
    </xf>
    <xf numFmtId="0" fontId="50" fillId="2" borderId="5" xfId="0" applyNumberFormat="1" applyFont="1" applyFill="1" applyBorder="1" applyAlignment="1">
      <alignment horizontal="left"/>
    </xf>
    <xf numFmtId="43" fontId="41" fillId="2" borderId="5" xfId="1" applyFont="1" applyFill="1" applyBorder="1"/>
    <xf numFmtId="43" fontId="41" fillId="2" borderId="5" xfId="1" applyFont="1" applyFill="1" applyBorder="1" applyAlignment="1"/>
    <xf numFmtId="0" fontId="22" fillId="2" borderId="5" xfId="0" applyNumberFormat="1" applyFont="1" applyFill="1" applyBorder="1"/>
    <xf numFmtId="0" fontId="50" fillId="2" borderId="52" xfId="0" applyNumberFormat="1" applyFont="1" applyFill="1" applyBorder="1" applyAlignment="1">
      <alignment horizontal="left"/>
    </xf>
    <xf numFmtId="43" fontId="41" fillId="2" borderId="52" xfId="1" applyFont="1" applyFill="1" applyBorder="1"/>
    <xf numFmtId="43" fontId="41" fillId="2" borderId="52" xfId="0" applyNumberFormat="1" applyFont="1" applyFill="1" applyBorder="1" applyAlignment="1">
      <alignment horizontal="left"/>
    </xf>
    <xf numFmtId="0" fontId="50" fillId="2" borderId="0" xfId="0" applyNumberFormat="1" applyFont="1" applyFill="1" applyBorder="1" applyAlignment="1">
      <alignment horizontal="left"/>
    </xf>
    <xf numFmtId="43" fontId="41" fillId="2" borderId="0" xfId="0" applyNumberFormat="1" applyFont="1" applyFill="1" applyBorder="1" applyAlignment="1">
      <alignment horizontal="left"/>
    </xf>
    <xf numFmtId="43" fontId="20" fillId="0" borderId="0" xfId="1" applyFont="1" applyBorder="1"/>
    <xf numFmtId="0" fontId="14" fillId="2" borderId="0" xfId="0" applyNumberFormat="1" applyFont="1" applyFill="1" applyBorder="1" applyAlignment="1">
      <alignment horizontal="left"/>
    </xf>
    <xf numFmtId="0" fontId="41" fillId="2" borderId="38" xfId="0" applyNumberFormat="1" applyFont="1" applyFill="1" applyBorder="1" applyAlignment="1">
      <alignment horizontal="left"/>
    </xf>
    <xf numFmtId="0" fontId="41" fillId="2" borderId="57" xfId="0" applyNumberFormat="1" applyFont="1" applyFill="1" applyBorder="1" applyAlignment="1">
      <alignment horizontal="left"/>
    </xf>
    <xf numFmtId="0" fontId="41" fillId="2" borderId="6" xfId="0" applyNumberFormat="1" applyFont="1" applyFill="1" applyBorder="1" applyAlignment="1">
      <alignment horizontal="left"/>
    </xf>
    <xf numFmtId="43" fontId="41" fillId="2" borderId="6" xfId="0" applyNumberFormat="1" applyFont="1" applyFill="1" applyBorder="1" applyAlignment="1">
      <alignment horizontal="left"/>
    </xf>
    <xf numFmtId="49" fontId="14" fillId="2" borderId="5" xfId="1" applyNumberFormat="1" applyFont="1" applyFill="1" applyBorder="1" applyAlignment="1">
      <alignment horizontal="left"/>
    </xf>
    <xf numFmtId="43" fontId="31" fillId="0" borderId="39" xfId="1" applyFont="1" applyBorder="1"/>
    <xf numFmtId="43" fontId="72" fillId="2" borderId="56" xfId="1" applyFont="1" applyFill="1" applyBorder="1" applyAlignment="1">
      <alignment horizontal="left"/>
    </xf>
    <xf numFmtId="43" fontId="35" fillId="2" borderId="42" xfId="1" applyFont="1" applyFill="1" applyBorder="1" applyAlignment="1">
      <alignment horizontal="left"/>
    </xf>
    <xf numFmtId="43" fontId="35" fillId="2" borderId="24" xfId="1" applyFont="1" applyFill="1" applyBorder="1" applyAlignment="1">
      <alignment horizontal="left"/>
    </xf>
    <xf numFmtId="43" fontId="35" fillId="2" borderId="5" xfId="1" applyFont="1" applyFill="1" applyBorder="1" applyAlignment="1">
      <alignment horizontal="left"/>
    </xf>
    <xf numFmtId="12" fontId="36" fillId="2" borderId="5" xfId="1" applyNumberFormat="1" applyFont="1" applyFill="1" applyBorder="1"/>
    <xf numFmtId="43" fontId="28" fillId="2" borderId="0" xfId="1" applyFont="1" applyFill="1" applyBorder="1" applyAlignment="1">
      <alignment horizontal="left"/>
    </xf>
    <xf numFmtId="43" fontId="84" fillId="0" borderId="0" xfId="1" applyFont="1"/>
    <xf numFmtId="43" fontId="24" fillId="0" borderId="0" xfId="1" applyFont="1"/>
    <xf numFmtId="12" fontId="84" fillId="0" borderId="0" xfId="1" applyNumberFormat="1" applyFont="1"/>
    <xf numFmtId="12" fontId="85" fillId="2" borderId="0" xfId="1" applyNumberFormat="1" applyFont="1" applyFill="1"/>
    <xf numFmtId="43" fontId="85" fillId="2" borderId="0" xfId="1" applyFont="1" applyFill="1"/>
    <xf numFmtId="12" fontId="84" fillId="2" borderId="0" xfId="1" applyNumberFormat="1" applyFont="1" applyFill="1"/>
    <xf numFmtId="43" fontId="84" fillId="2" borderId="0" xfId="1" applyFont="1" applyFill="1"/>
    <xf numFmtId="12" fontId="25" fillId="2" borderId="0" xfId="1" applyNumberFormat="1" applyFont="1" applyFill="1"/>
    <xf numFmtId="43" fontId="25" fillId="2" borderId="0" xfId="1" applyFont="1" applyFill="1"/>
    <xf numFmtId="12" fontId="85" fillId="0" borderId="0" xfId="1" applyNumberFormat="1" applyFont="1"/>
    <xf numFmtId="43" fontId="85" fillId="0" borderId="0" xfId="1" applyFont="1"/>
    <xf numFmtId="164" fontId="24" fillId="0" borderId="0" xfId="1" applyNumberFormat="1" applyFont="1"/>
    <xf numFmtId="164" fontId="84" fillId="0" borderId="0" xfId="1" applyNumberFormat="1" applyFont="1"/>
    <xf numFmtId="43" fontId="25" fillId="2" borderId="0" xfId="1" applyFont="1" applyFill="1" applyBorder="1" applyAlignment="1">
      <alignment horizontal="left"/>
    </xf>
    <xf numFmtId="43" fontId="28" fillId="2" borderId="39" xfId="2" applyNumberFormat="1" applyFont="1" applyFill="1" applyBorder="1" applyAlignment="1">
      <alignment horizontal="left"/>
    </xf>
    <xf numFmtId="43" fontId="87" fillId="2" borderId="6" xfId="1" applyFont="1" applyFill="1" applyBorder="1" applyAlignment="1">
      <alignment horizontal="left"/>
    </xf>
    <xf numFmtId="43" fontId="88" fillId="2" borderId="5" xfId="1" applyFont="1" applyFill="1" applyBorder="1" applyAlignment="1">
      <alignment horizontal="left"/>
    </xf>
    <xf numFmtId="43" fontId="79" fillId="2" borderId="0" xfId="1" applyFont="1" applyFill="1"/>
    <xf numFmtId="12" fontId="79" fillId="2" borderId="0" xfId="1" applyNumberFormat="1" applyFont="1" applyFill="1"/>
    <xf numFmtId="3" fontId="23" fillId="2" borderId="5" xfId="1" applyNumberFormat="1" applyFont="1" applyFill="1" applyBorder="1" applyAlignment="1">
      <alignment horizontal="left"/>
    </xf>
    <xf numFmtId="0" fontId="89" fillId="2" borderId="0" xfId="0" applyNumberFormat="1" applyFont="1" applyFill="1" applyAlignment="1">
      <alignment horizontal="left"/>
    </xf>
    <xf numFmtId="0" fontId="89" fillId="2" borderId="0" xfId="0" applyNumberFormat="1" applyFont="1" applyFill="1" applyBorder="1" applyAlignment="1">
      <alignment horizontal="left"/>
    </xf>
    <xf numFmtId="43" fontId="89" fillId="2" borderId="0" xfId="0" applyNumberFormat="1" applyFont="1" applyFill="1" applyAlignment="1">
      <alignment horizontal="left"/>
    </xf>
    <xf numFmtId="0" fontId="89" fillId="2" borderId="51" xfId="0" applyNumberFormat="1" applyFont="1" applyFill="1" applyBorder="1" applyAlignment="1">
      <alignment horizontal="left"/>
    </xf>
    <xf numFmtId="43" fontId="90" fillId="0" borderId="5" xfId="1" applyFont="1" applyBorder="1" applyAlignment="1">
      <alignment horizontal="left"/>
    </xf>
    <xf numFmtId="43" fontId="90" fillId="2" borderId="5" xfId="1" applyFont="1" applyFill="1" applyBorder="1" applyAlignment="1">
      <alignment horizontal="left"/>
    </xf>
    <xf numFmtId="0" fontId="90" fillId="2" borderId="5" xfId="1" applyNumberFormat="1" applyFont="1" applyFill="1" applyBorder="1" applyAlignment="1">
      <alignment horizontal="left"/>
    </xf>
    <xf numFmtId="0" fontId="92" fillId="2" borderId="5" xfId="1" applyNumberFormat="1" applyFont="1" applyFill="1" applyBorder="1" applyAlignment="1">
      <alignment horizontal="left"/>
    </xf>
    <xf numFmtId="43" fontId="92" fillId="2" borderId="5" xfId="1" applyFont="1" applyFill="1" applyBorder="1" applyAlignment="1">
      <alignment horizontal="left"/>
    </xf>
    <xf numFmtId="3" fontId="90" fillId="2" borderId="28" xfId="1" applyNumberFormat="1" applyFont="1" applyFill="1" applyBorder="1" applyAlignment="1">
      <alignment horizontal="left"/>
    </xf>
    <xf numFmtId="43" fontId="21" fillId="2" borderId="0" xfId="1" applyNumberFormat="1" applyFont="1" applyFill="1" applyBorder="1" applyAlignment="1">
      <alignment horizontal="left"/>
    </xf>
    <xf numFmtId="43" fontId="24" fillId="2" borderId="0" xfId="2" applyNumberFormat="1" applyFont="1" applyFill="1" applyBorder="1" applyAlignment="1">
      <alignment horizontal="left"/>
    </xf>
    <xf numFmtId="0" fontId="0" fillId="0" borderId="5" xfId="0" applyBorder="1"/>
    <xf numFmtId="164" fontId="14" fillId="2" borderId="39" xfId="1" applyNumberFormat="1" applyFont="1" applyFill="1" applyBorder="1"/>
    <xf numFmtId="0" fontId="0" fillId="0" borderId="0" xfId="0" applyBorder="1"/>
    <xf numFmtId="43" fontId="0" fillId="0" borderId="0" xfId="0" applyNumberFormat="1" applyBorder="1"/>
    <xf numFmtId="49" fontId="0" fillId="0" borderId="0" xfId="0" applyNumberFormat="1" applyBorder="1"/>
    <xf numFmtId="0" fontId="6" fillId="0" borderId="0" xfId="0" applyFont="1"/>
    <xf numFmtId="0" fontId="17" fillId="2" borderId="5" xfId="1" applyNumberFormat="1" applyFont="1" applyFill="1" applyBorder="1" applyAlignment="1">
      <alignment horizontal="left"/>
    </xf>
    <xf numFmtId="43" fontId="73" fillId="2" borderId="6" xfId="2" applyNumberFormat="1" applyFont="1" applyFill="1" applyBorder="1" applyAlignment="1">
      <alignment horizontal="left"/>
    </xf>
    <xf numFmtId="43" fontId="95" fillId="2" borderId="6" xfId="1" applyFont="1" applyFill="1" applyBorder="1" applyAlignment="1">
      <alignment horizontal="left"/>
    </xf>
    <xf numFmtId="43" fontId="54" fillId="2" borderId="5" xfId="1" applyFont="1" applyFill="1" applyBorder="1" applyAlignment="1">
      <alignment horizontal="left"/>
    </xf>
    <xf numFmtId="0" fontId="96" fillId="2" borderId="5" xfId="1" applyNumberFormat="1" applyFont="1" applyFill="1" applyBorder="1" applyAlignment="1">
      <alignment horizontal="left"/>
    </xf>
    <xf numFmtId="165" fontId="96" fillId="2" borderId="5" xfId="1" applyNumberFormat="1" applyFont="1" applyFill="1" applyBorder="1" applyAlignment="1">
      <alignment horizontal="left"/>
    </xf>
    <xf numFmtId="43" fontId="73" fillId="0" borderId="0" xfId="1" applyFont="1"/>
    <xf numFmtId="43" fontId="100" fillId="0" borderId="0" xfId="1" applyFont="1"/>
    <xf numFmtId="43" fontId="101" fillId="2" borderId="6" xfId="2" applyNumberFormat="1" applyFont="1" applyFill="1" applyBorder="1" applyAlignment="1">
      <alignment horizontal="left"/>
    </xf>
    <xf numFmtId="0" fontId="19" fillId="0" borderId="5" xfId="0" applyFont="1" applyBorder="1"/>
    <xf numFmtId="43" fontId="102" fillId="2" borderId="52" xfId="1" applyFont="1" applyFill="1" applyBorder="1" applyAlignment="1">
      <alignment horizontal="left"/>
    </xf>
    <xf numFmtId="43" fontId="102" fillId="2" borderId="59" xfId="1" applyFont="1" applyFill="1" applyBorder="1" applyAlignment="1">
      <alignment horizontal="left"/>
    </xf>
    <xf numFmtId="43" fontId="102" fillId="2" borderId="53" xfId="1" applyFont="1" applyFill="1" applyBorder="1" applyAlignment="1">
      <alignment horizontal="left"/>
    </xf>
    <xf numFmtId="43" fontId="102" fillId="2" borderId="60" xfId="1" applyFont="1" applyFill="1" applyBorder="1" applyAlignment="1">
      <alignment horizontal="left"/>
    </xf>
    <xf numFmtId="43" fontId="102" fillId="2" borderId="52" xfId="1" applyFont="1" applyFill="1" applyBorder="1"/>
    <xf numFmtId="43" fontId="102" fillId="2" borderId="60" xfId="1" applyFont="1" applyFill="1" applyBorder="1"/>
    <xf numFmtId="0" fontId="32" fillId="0" borderId="0" xfId="0" applyFont="1"/>
    <xf numFmtId="43" fontId="19" fillId="0" borderId="5" xfId="1" applyFont="1" applyBorder="1"/>
    <xf numFmtId="0" fontId="30" fillId="0" borderId="5" xfId="0" applyFont="1" applyBorder="1"/>
    <xf numFmtId="43" fontId="30" fillId="0" borderId="5" xfId="0" applyNumberFormat="1" applyFont="1" applyBorder="1"/>
    <xf numFmtId="0" fontId="30" fillId="0" borderId="5" xfId="0" applyFont="1" applyBorder="1" applyAlignment="1">
      <alignment horizontal="right"/>
    </xf>
    <xf numFmtId="3" fontId="0" fillId="0" borderId="0" xfId="0" applyNumberFormat="1"/>
    <xf numFmtId="3" fontId="103" fillId="0" borderId="61" xfId="0" applyNumberFormat="1" applyFont="1" applyBorder="1" applyAlignment="1">
      <alignment vertical="center" wrapText="1"/>
    </xf>
    <xf numFmtId="3" fontId="103" fillId="0" borderId="62" xfId="0" applyNumberFormat="1" applyFont="1" applyBorder="1" applyAlignment="1">
      <alignment vertical="center" wrapText="1"/>
    </xf>
    <xf numFmtId="0" fontId="104" fillId="0" borderId="61" xfId="0" applyFont="1" applyBorder="1" applyAlignment="1">
      <alignment vertical="center" wrapText="1"/>
    </xf>
    <xf numFmtId="0" fontId="104" fillId="0" borderId="62" xfId="0" applyFont="1" applyBorder="1" applyAlignment="1">
      <alignment vertical="center" wrapText="1"/>
    </xf>
    <xf numFmtId="0" fontId="103" fillId="0" borderId="61" xfId="0" applyFont="1" applyBorder="1" applyAlignment="1">
      <alignment vertical="center" wrapText="1"/>
    </xf>
    <xf numFmtId="0" fontId="103" fillId="0" borderId="62" xfId="0" applyFont="1" applyBorder="1" applyAlignment="1">
      <alignment vertical="center" wrapText="1"/>
    </xf>
    <xf numFmtId="43" fontId="29" fillId="3" borderId="0" xfId="1" applyFont="1" applyFill="1"/>
    <xf numFmtId="0" fontId="0" fillId="0" borderId="5" xfId="0" applyBorder="1"/>
    <xf numFmtId="0" fontId="0" fillId="0" borderId="5" xfId="0" applyBorder="1"/>
    <xf numFmtId="43" fontId="28" fillId="2" borderId="26" xfId="2" applyNumberFormat="1" applyFont="1" applyFill="1" applyBorder="1" applyAlignment="1">
      <alignment horizontal="left"/>
    </xf>
    <xf numFmtId="43" fontId="80" fillId="2" borderId="5" xfId="2" applyNumberFormat="1" applyFont="1" applyFill="1" applyBorder="1" applyAlignment="1">
      <alignment horizontal="left"/>
    </xf>
    <xf numFmtId="43" fontId="106" fillId="0" borderId="5" xfId="0" applyNumberFormat="1" applyFont="1" applyBorder="1"/>
    <xf numFmtId="0" fontId="20" fillId="0" borderId="0" xfId="0" applyFont="1"/>
    <xf numFmtId="0" fontId="106" fillId="0" borderId="5" xfId="0" applyFont="1" applyBorder="1"/>
    <xf numFmtId="0" fontId="106" fillId="0" borderId="0" xfId="0" applyFont="1"/>
    <xf numFmtId="0" fontId="32" fillId="0" borderId="5" xfId="0" applyFont="1" applyBorder="1"/>
    <xf numFmtId="43" fontId="32" fillId="0" borderId="5" xfId="1" applyFont="1" applyBorder="1"/>
    <xf numFmtId="43" fontId="29" fillId="6" borderId="5" xfId="1" applyFont="1" applyFill="1" applyBorder="1"/>
    <xf numFmtId="43" fontId="5" fillId="0" borderId="0" xfId="1" applyFont="1"/>
    <xf numFmtId="43" fontId="39" fillId="2" borderId="39" xfId="1" applyFont="1" applyFill="1" applyBorder="1" applyAlignment="1">
      <alignment horizontal="left"/>
    </xf>
    <xf numFmtId="43" fontId="39" fillId="2" borderId="6" xfId="1" applyFont="1" applyFill="1" applyBorder="1" applyAlignment="1">
      <alignment horizontal="left"/>
    </xf>
    <xf numFmtId="43" fontId="107" fillId="2" borderId="5" xfId="1" applyFont="1" applyFill="1" applyBorder="1" applyAlignment="1">
      <alignment horizontal="left"/>
    </xf>
    <xf numFmtId="43" fontId="107" fillId="2" borderId="26" xfId="1" applyFont="1" applyFill="1" applyBorder="1" applyAlignment="1">
      <alignment horizontal="left"/>
    </xf>
    <xf numFmtId="0" fontId="41" fillId="2" borderId="52" xfId="0" applyNumberFormat="1" applyFont="1" applyFill="1" applyBorder="1" applyAlignment="1">
      <alignment horizontal="right"/>
    </xf>
    <xf numFmtId="0" fontId="50" fillId="2" borderId="52" xfId="0" applyNumberFormat="1" applyFont="1" applyFill="1" applyBorder="1" applyAlignment="1">
      <alignment horizontal="right"/>
    </xf>
    <xf numFmtId="43" fontId="27" fillId="2" borderId="5" xfId="2" applyNumberFormat="1" applyFont="1" applyFill="1" applyBorder="1" applyAlignment="1">
      <alignment horizontal="left"/>
    </xf>
    <xf numFmtId="43" fontId="27" fillId="2" borderId="39" xfId="2" applyNumberFormat="1" applyFont="1" applyFill="1" applyBorder="1" applyAlignment="1">
      <alignment horizontal="left"/>
    </xf>
    <xf numFmtId="43" fontId="78" fillId="0" borderId="5" xfId="1" applyFont="1" applyBorder="1"/>
    <xf numFmtId="43" fontId="78" fillId="0" borderId="39" xfId="1" applyFont="1" applyBorder="1"/>
    <xf numFmtId="0" fontId="16" fillId="2" borderId="52" xfId="0" applyNumberFormat="1" applyFont="1" applyFill="1" applyBorder="1"/>
    <xf numFmtId="43" fontId="50" fillId="2" borderId="5" xfId="1" applyFont="1" applyFill="1" applyBorder="1" applyAlignment="1">
      <alignment horizontal="right"/>
    </xf>
    <xf numFmtId="43" fontId="41" fillId="2" borderId="5" xfId="1" applyFont="1" applyFill="1" applyBorder="1" applyAlignment="1">
      <alignment horizontal="right"/>
    </xf>
    <xf numFmtId="0" fontId="109" fillId="0" borderId="5" xfId="0" applyFont="1" applyBorder="1"/>
    <xf numFmtId="0" fontId="30" fillId="0" borderId="0" xfId="0" applyFont="1" applyAlignment="1">
      <alignment horizontal="center" vertical="center"/>
    </xf>
    <xf numFmtId="43" fontId="30" fillId="0" borderId="0" xfId="1" applyFont="1"/>
    <xf numFmtId="43" fontId="106" fillId="0" borderId="0" xfId="1" applyFont="1"/>
    <xf numFmtId="0" fontId="4" fillId="0" borderId="0" xfId="0" applyFont="1"/>
    <xf numFmtId="43" fontId="41" fillId="2" borderId="12" xfId="1" applyFont="1" applyFill="1" applyBorder="1" applyAlignment="1">
      <alignment horizontal="left" wrapText="1"/>
    </xf>
    <xf numFmtId="43" fontId="90" fillId="2" borderId="5" xfId="1" applyFont="1" applyFill="1" applyBorder="1" applyAlignment="1">
      <alignment wrapText="1"/>
    </xf>
    <xf numFmtId="43" fontId="110" fillId="2" borderId="5" xfId="1" applyFont="1" applyFill="1" applyBorder="1" applyAlignment="1">
      <alignment horizontal="left"/>
    </xf>
    <xf numFmtId="43" fontId="41" fillId="2" borderId="63" xfId="1" applyFont="1" applyFill="1" applyBorder="1" applyAlignment="1">
      <alignment horizontal="left" wrapText="1"/>
    </xf>
    <xf numFmtId="43" fontId="111" fillId="2" borderId="5" xfId="1" applyFont="1" applyFill="1" applyBorder="1" applyAlignment="1">
      <alignment horizontal="left"/>
    </xf>
    <xf numFmtId="0" fontId="111" fillId="2" borderId="5" xfId="1" applyNumberFormat="1" applyFont="1" applyFill="1" applyBorder="1" applyAlignment="1">
      <alignment horizontal="left"/>
    </xf>
    <xf numFmtId="43" fontId="112" fillId="2" borderId="0" xfId="1" applyFont="1" applyFill="1"/>
    <xf numFmtId="12" fontId="112" fillId="2" borderId="0" xfId="1" applyNumberFormat="1" applyFont="1" applyFill="1"/>
    <xf numFmtId="43" fontId="113" fillId="2" borderId="39" xfId="1" applyFont="1" applyFill="1" applyBorder="1" applyAlignment="1">
      <alignment horizontal="left"/>
    </xf>
    <xf numFmtId="43" fontId="113" fillId="2" borderId="25" xfId="1" applyFont="1" applyFill="1" applyBorder="1" applyAlignment="1">
      <alignment horizontal="left"/>
    </xf>
    <xf numFmtId="43" fontId="21" fillId="2" borderId="28" xfId="1" applyFont="1" applyFill="1" applyBorder="1" applyAlignment="1">
      <alignment horizontal="left"/>
    </xf>
    <xf numFmtId="43" fontId="21" fillId="2" borderId="43" xfId="1" applyFont="1" applyFill="1" applyBorder="1" applyAlignment="1">
      <alignment horizontal="left"/>
    </xf>
    <xf numFmtId="43" fontId="107" fillId="2" borderId="38" xfId="1" applyFont="1" applyFill="1" applyBorder="1" applyAlignment="1">
      <alignment horizontal="left"/>
    </xf>
    <xf numFmtId="43" fontId="107" fillId="2" borderId="39" xfId="1" applyFont="1" applyFill="1" applyBorder="1" applyAlignment="1">
      <alignment horizontal="left"/>
    </xf>
    <xf numFmtId="43" fontId="107" fillId="2" borderId="5" xfId="1" applyFont="1" applyFill="1" applyBorder="1"/>
    <xf numFmtId="43" fontId="107" fillId="2" borderId="39" xfId="1" applyFont="1" applyFill="1" applyBorder="1"/>
    <xf numFmtId="43" fontId="3" fillId="0" borderId="0" xfId="1" applyFont="1" applyBorder="1"/>
    <xf numFmtId="43" fontId="3" fillId="0" borderId="0" xfId="1" applyFont="1"/>
    <xf numFmtId="43" fontId="3" fillId="0" borderId="0" xfId="1" applyFont="1" applyAlignment="1">
      <alignment horizontal="right"/>
    </xf>
    <xf numFmtId="4" fontId="22" fillId="2" borderId="0" xfId="0" applyNumberFormat="1" applyFont="1" applyFill="1" applyBorder="1"/>
    <xf numFmtId="43" fontId="22" fillId="2" borderId="0" xfId="1" applyFont="1" applyFill="1"/>
    <xf numFmtId="4" fontId="35" fillId="2" borderId="0" xfId="0" applyNumberFormat="1" applyFont="1" applyFill="1"/>
    <xf numFmtId="43" fontId="37" fillId="2" borderId="0" xfId="1" applyFont="1" applyFill="1" applyBorder="1"/>
    <xf numFmtId="43" fontId="2" fillId="0" borderId="0" xfId="1" applyFont="1"/>
    <xf numFmtId="43" fontId="114" fillId="2" borderId="5" xfId="1" applyFont="1" applyFill="1" applyBorder="1" applyAlignment="1">
      <alignment horizontal="left"/>
    </xf>
    <xf numFmtId="43" fontId="114" fillId="2" borderId="5" xfId="1" applyFont="1" applyFill="1" applyBorder="1"/>
    <xf numFmtId="43" fontId="99" fillId="2" borderId="5" xfId="1" applyFont="1" applyFill="1" applyBorder="1" applyAlignment="1">
      <alignment wrapText="1"/>
    </xf>
    <xf numFmtId="43" fontId="99" fillId="0" borderId="5" xfId="1" applyFont="1" applyBorder="1" applyAlignment="1">
      <alignment horizontal="left"/>
    </xf>
    <xf numFmtId="43" fontId="55" fillId="2" borderId="40" xfId="1" applyFont="1" applyFill="1" applyBorder="1" applyAlignment="1">
      <alignment horizontal="left"/>
    </xf>
    <xf numFmtId="0" fontId="15" fillId="2" borderId="40" xfId="1" applyNumberFormat="1" applyFont="1" applyFill="1" applyBorder="1" applyAlignment="1">
      <alignment horizontal="left"/>
    </xf>
    <xf numFmtId="43" fontId="54" fillId="2" borderId="41" xfId="1" applyFont="1" applyFill="1" applyBorder="1" applyAlignment="1">
      <alignment horizontal="left"/>
    </xf>
    <xf numFmtId="43" fontId="29" fillId="3" borderId="5" xfId="1" applyFont="1" applyFill="1" applyBorder="1"/>
    <xf numFmtId="164" fontId="14" fillId="2" borderId="5" xfId="1" applyNumberFormat="1" applyFont="1" applyFill="1" applyBorder="1" applyAlignment="1">
      <alignment horizontal="left"/>
    </xf>
    <xf numFmtId="43" fontId="115" fillId="2" borderId="5" xfId="1" applyFont="1" applyFill="1" applyBorder="1" applyAlignment="1">
      <alignment horizontal="left"/>
    </xf>
    <xf numFmtId="44" fontId="89" fillId="2" borderId="0" xfId="0" applyNumberFormat="1" applyFont="1" applyFill="1" applyAlignment="1">
      <alignment horizontal="left"/>
    </xf>
    <xf numFmtId="3" fontId="14" fillId="2" borderId="38" xfId="1" applyNumberFormat="1" applyFont="1" applyFill="1" applyBorder="1" applyAlignment="1">
      <alignment horizontal="left"/>
    </xf>
    <xf numFmtId="43" fontId="44" fillId="2" borderId="6" xfId="1" applyFont="1" applyFill="1" applyBorder="1" applyAlignment="1">
      <alignment horizontal="left"/>
    </xf>
    <xf numFmtId="43" fontId="68" fillId="2" borderId="5" xfId="1" applyFont="1" applyFill="1" applyBorder="1"/>
    <xf numFmtId="12" fontId="68" fillId="2" borderId="5" xfId="1" applyNumberFormat="1" applyFont="1" applyFill="1" applyBorder="1"/>
    <xf numFmtId="43" fontId="100" fillId="2" borderId="5" xfId="1" applyFont="1" applyFill="1" applyBorder="1" applyAlignment="1">
      <alignment horizontal="left"/>
    </xf>
    <xf numFmtId="43" fontId="29" fillId="6" borderId="52" xfId="1" applyFont="1" applyFill="1" applyBorder="1"/>
    <xf numFmtId="43" fontId="29" fillId="3" borderId="52" xfId="1" applyFont="1" applyFill="1" applyBorder="1"/>
    <xf numFmtId="164" fontId="11" fillId="0" borderId="5" xfId="1" applyNumberFormat="1" applyFont="1" applyBorder="1"/>
    <xf numFmtId="43" fontId="11" fillId="0" borderId="5" xfId="1" applyFont="1" applyBorder="1"/>
    <xf numFmtId="43" fontId="11" fillId="3" borderId="5" xfId="1" applyFont="1" applyFill="1" applyBorder="1"/>
    <xf numFmtId="43" fontId="99" fillId="2" borderId="5" xfId="1" applyFont="1" applyFill="1" applyBorder="1" applyAlignment="1">
      <alignment horizontal="left" wrapText="1"/>
    </xf>
    <xf numFmtId="0" fontId="99" fillId="0" borderId="5" xfId="0" applyFont="1" applyFill="1" applyBorder="1" applyAlignment="1">
      <alignment horizontal="left" wrapText="1"/>
    </xf>
    <xf numFmtId="43" fontId="93" fillId="2" borderId="5" xfId="1" applyFont="1" applyFill="1" applyBorder="1" applyAlignment="1">
      <alignment horizontal="left"/>
    </xf>
    <xf numFmtId="3" fontId="96" fillId="2" borderId="5" xfId="1" applyNumberFormat="1" applyFont="1" applyFill="1" applyBorder="1" applyAlignment="1">
      <alignment horizontal="left"/>
    </xf>
    <xf numFmtId="0" fontId="117" fillId="2" borderId="0" xfId="0" applyNumberFormat="1" applyFont="1" applyFill="1" applyAlignment="1">
      <alignment horizontal="left"/>
    </xf>
    <xf numFmtId="0" fontId="118" fillId="2" borderId="0" xfId="0" applyNumberFormat="1" applyFont="1" applyFill="1" applyAlignment="1">
      <alignment horizontal="left"/>
    </xf>
    <xf numFmtId="43" fontId="89" fillId="2" borderId="38" xfId="1" applyFont="1" applyFill="1" applyBorder="1" applyAlignment="1">
      <alignment horizontal="left"/>
    </xf>
    <xf numFmtId="43" fontId="89" fillId="2" borderId="0" xfId="1" applyFont="1" applyFill="1" applyBorder="1" applyAlignment="1">
      <alignment horizontal="left"/>
    </xf>
    <xf numFmtId="0" fontId="73" fillId="2" borderId="5" xfId="1" applyNumberFormat="1" applyFont="1" applyFill="1" applyBorder="1" applyAlignment="1">
      <alignment horizontal="left"/>
    </xf>
    <xf numFmtId="164" fontId="123" fillId="0" borderId="0" xfId="1" applyNumberFormat="1" applyFont="1"/>
    <xf numFmtId="43" fontId="123" fillId="0" borderId="0" xfId="1" applyFont="1"/>
    <xf numFmtId="43" fontId="116" fillId="2" borderId="23" xfId="1" applyFont="1" applyFill="1" applyBorder="1" applyAlignment="1">
      <alignment horizontal="left"/>
    </xf>
    <xf numFmtId="0" fontId="39" fillId="2" borderId="5" xfId="1" applyNumberFormat="1" applyFont="1" applyFill="1" applyBorder="1" applyAlignment="1">
      <alignment horizontal="left"/>
    </xf>
    <xf numFmtId="43" fontId="74" fillId="2" borderId="5" xfId="1" applyFont="1" applyFill="1" applyBorder="1" applyAlignment="1">
      <alignment horizontal="left"/>
    </xf>
    <xf numFmtId="43" fontId="73" fillId="0" borderId="5" xfId="1" applyFont="1" applyBorder="1" applyAlignment="1">
      <alignment horizontal="left"/>
    </xf>
    <xf numFmtId="43" fontId="73" fillId="2" borderId="5" xfId="2" applyNumberFormat="1" applyFont="1" applyFill="1" applyBorder="1" applyAlignment="1">
      <alignment horizontal="left"/>
    </xf>
    <xf numFmtId="43" fontId="116" fillId="2" borderId="25" xfId="1" applyFont="1" applyFill="1" applyBorder="1" applyAlignment="1">
      <alignment horizontal="left"/>
    </xf>
    <xf numFmtId="43" fontId="124" fillId="0" borderId="0" xfId="1" applyFont="1"/>
    <xf numFmtId="43" fontId="125" fillId="2" borderId="0" xfId="1" applyFont="1" applyFill="1"/>
    <xf numFmtId="43" fontId="39" fillId="2" borderId="5" xfId="2" applyNumberFormat="1" applyFont="1" applyFill="1" applyBorder="1" applyAlignment="1">
      <alignment horizontal="left"/>
    </xf>
    <xf numFmtId="43" fontId="116" fillId="2" borderId="0" xfId="1" applyFont="1" applyFill="1"/>
    <xf numFmtId="43" fontId="125" fillId="2" borderId="25" xfId="1" applyFont="1" applyFill="1" applyBorder="1" applyAlignment="1">
      <alignment horizontal="left"/>
    </xf>
    <xf numFmtId="43" fontId="124" fillId="2" borderId="0" xfId="1" applyFont="1" applyFill="1"/>
    <xf numFmtId="0" fontId="74" fillId="2" borderId="5" xfId="1" applyNumberFormat="1" applyFont="1" applyFill="1" applyBorder="1" applyAlignment="1">
      <alignment horizontal="left"/>
    </xf>
    <xf numFmtId="43" fontId="39" fillId="0" borderId="5" xfId="1" applyFont="1" applyBorder="1" applyAlignment="1">
      <alignment horizontal="left"/>
    </xf>
    <xf numFmtId="43" fontId="125" fillId="2" borderId="5" xfId="1" applyFont="1" applyFill="1" applyBorder="1" applyAlignment="1">
      <alignment horizontal="left"/>
    </xf>
    <xf numFmtId="2" fontId="39" fillId="2" borderId="5" xfId="1" applyNumberFormat="1" applyFont="1" applyFill="1" applyBorder="1" applyAlignment="1">
      <alignment horizontal="left"/>
    </xf>
    <xf numFmtId="43" fontId="126" fillId="2" borderId="5" xfId="1" applyFont="1" applyFill="1" applyBorder="1"/>
    <xf numFmtId="43" fontId="125" fillId="0" borderId="0" xfId="1" applyFont="1"/>
    <xf numFmtId="2" fontId="39" fillId="2" borderId="6" xfId="1" applyNumberFormat="1" applyFont="1" applyFill="1" applyBorder="1" applyAlignment="1">
      <alignment horizontal="left"/>
    </xf>
    <xf numFmtId="0" fontId="39" fillId="2" borderId="6" xfId="1" applyNumberFormat="1" applyFont="1" applyFill="1" applyBorder="1" applyAlignment="1">
      <alignment horizontal="left"/>
    </xf>
    <xf numFmtId="43" fontId="126" fillId="2" borderId="6" xfId="1" applyFont="1" applyFill="1" applyBorder="1"/>
    <xf numFmtId="43" fontId="39" fillId="0" borderId="6" xfId="1" applyFont="1" applyBorder="1" applyAlignment="1">
      <alignment horizontal="left"/>
    </xf>
    <xf numFmtId="164" fontId="116" fillId="2" borderId="15" xfId="1" applyNumberFormat="1" applyFont="1" applyFill="1" applyBorder="1" applyAlignment="1">
      <alignment horizontal="left"/>
    </xf>
    <xf numFmtId="43" fontId="39" fillId="2" borderId="28" xfId="1" applyFont="1" applyFill="1" applyBorder="1" applyAlignment="1">
      <alignment horizontal="left"/>
    </xf>
    <xf numFmtId="43" fontId="39" fillId="2" borderId="6" xfId="2" applyNumberFormat="1" applyFont="1" applyFill="1" applyBorder="1" applyAlignment="1">
      <alignment horizontal="left"/>
    </xf>
    <xf numFmtId="43" fontId="74" fillId="2" borderId="6" xfId="2" applyNumberFormat="1" applyFont="1" applyFill="1" applyBorder="1" applyAlignment="1">
      <alignment horizontal="left"/>
    </xf>
    <xf numFmtId="43" fontId="124" fillId="0" borderId="6" xfId="1" applyFont="1" applyBorder="1" applyAlignment="1">
      <alignment horizontal="left"/>
    </xf>
    <xf numFmtId="12" fontId="126" fillId="2" borderId="0" xfId="1" applyNumberFormat="1" applyFont="1" applyFill="1"/>
    <xf numFmtId="164" fontId="116" fillId="2" borderId="0" xfId="1" applyNumberFormat="1" applyFont="1" applyFill="1" applyBorder="1" applyAlignment="1">
      <alignment horizontal="left"/>
    </xf>
    <xf numFmtId="43" fontId="116" fillId="2" borderId="0" xfId="1" applyFont="1" applyFill="1" applyBorder="1" applyAlignment="1">
      <alignment horizontal="left"/>
    </xf>
    <xf numFmtId="0" fontId="73" fillId="0" borderId="0" xfId="0" applyFont="1" applyAlignment="1">
      <alignment horizontal="left"/>
    </xf>
    <xf numFmtId="0" fontId="39" fillId="2" borderId="0" xfId="0" applyNumberFormat="1" applyFont="1" applyFill="1" applyAlignment="1">
      <alignment horizontal="left"/>
    </xf>
    <xf numFmtId="0" fontId="127" fillId="2" borderId="0" xfId="0" applyNumberFormat="1" applyFont="1" applyFill="1" applyAlignment="1">
      <alignment horizontal="left"/>
    </xf>
    <xf numFmtId="43" fontId="39" fillId="2" borderId="38" xfId="1" applyFont="1" applyFill="1" applyBorder="1" applyAlignment="1">
      <alignment horizontal="left"/>
    </xf>
    <xf numFmtId="43" fontId="39" fillId="2" borderId="0" xfId="1" applyFont="1" applyFill="1" applyBorder="1" applyAlignment="1">
      <alignment horizontal="left"/>
    </xf>
    <xf numFmtId="0" fontId="116" fillId="2" borderId="0" xfId="0" applyNumberFormat="1" applyFont="1" applyFill="1" applyAlignment="1">
      <alignment horizontal="left"/>
    </xf>
    <xf numFmtId="1" fontId="39" fillId="2" borderId="0" xfId="0" applyNumberFormat="1" applyFont="1" applyFill="1" applyBorder="1" applyAlignment="1">
      <alignment horizontal="left"/>
    </xf>
    <xf numFmtId="43" fontId="124" fillId="0" borderId="0" xfId="1" applyFont="1" applyAlignment="1">
      <alignment horizontal="left"/>
    </xf>
    <xf numFmtId="164" fontId="116" fillId="2" borderId="0" xfId="1" applyNumberFormat="1" applyFont="1" applyFill="1" applyBorder="1"/>
    <xf numFmtId="43" fontId="116" fillId="2" borderId="0" xfId="1" applyFont="1" applyFill="1" applyBorder="1"/>
    <xf numFmtId="43" fontId="116" fillId="2" borderId="0" xfId="1" applyFont="1" applyFill="1" applyBorder="1" applyAlignment="1"/>
    <xf numFmtId="43" fontId="116" fillId="2" borderId="0" xfId="1" applyFont="1" applyFill="1" applyBorder="1" applyAlignment="1">
      <alignment horizontal="center"/>
    </xf>
    <xf numFmtId="164" fontId="129" fillId="2" borderId="17" xfId="1" applyNumberFormat="1" applyFont="1" applyFill="1" applyBorder="1" applyAlignment="1">
      <alignment horizontal="left"/>
    </xf>
    <xf numFmtId="43" fontId="94" fillId="0" borderId="52" xfId="1" applyFont="1" applyBorder="1"/>
    <xf numFmtId="0" fontId="91" fillId="0" borderId="0" xfId="0" applyFont="1" applyBorder="1" applyAlignment="1">
      <alignment horizontal="left"/>
    </xf>
    <xf numFmtId="43" fontId="94" fillId="0" borderId="0" xfId="1" applyFont="1" applyBorder="1"/>
    <xf numFmtId="43" fontId="94" fillId="0" borderId="57" xfId="1" applyFont="1" applyBorder="1"/>
    <xf numFmtId="164" fontId="105" fillId="2" borderId="5" xfId="1" applyNumberFormat="1" applyFont="1" applyFill="1" applyBorder="1" applyAlignment="1">
      <alignment horizontal="left"/>
    </xf>
    <xf numFmtId="4" fontId="96" fillId="2" borderId="5" xfId="1" applyNumberFormat="1" applyFont="1" applyFill="1" applyBorder="1" applyAlignment="1">
      <alignment horizontal="left"/>
    </xf>
    <xf numFmtId="43" fontId="13" fillId="2" borderId="5" xfId="1" applyFont="1" applyFill="1" applyBorder="1" applyAlignment="1">
      <alignment horizontal="left"/>
    </xf>
    <xf numFmtId="43" fontId="131" fillId="2" borderId="5" xfId="1" applyFont="1" applyFill="1" applyBorder="1" applyAlignment="1">
      <alignment horizontal="left"/>
    </xf>
    <xf numFmtId="43" fontId="131" fillId="2" borderId="26" xfId="1" applyFont="1" applyFill="1" applyBorder="1" applyAlignment="1">
      <alignment horizontal="left"/>
    </xf>
    <xf numFmtId="43" fontId="13" fillId="2" borderId="26" xfId="1" applyFont="1" applyFill="1" applyBorder="1" applyAlignment="1">
      <alignment horizontal="left"/>
    </xf>
    <xf numFmtId="43" fontId="131" fillId="2" borderId="40" xfId="1" applyFont="1" applyFill="1" applyBorder="1" applyAlignment="1">
      <alignment horizontal="left"/>
    </xf>
    <xf numFmtId="43" fontId="13" fillId="2" borderId="54" xfId="1" applyFont="1" applyFill="1" applyBorder="1" applyAlignment="1">
      <alignment horizontal="left"/>
    </xf>
    <xf numFmtId="43" fontId="16" fillId="2" borderId="38" xfId="1" applyFont="1" applyFill="1" applyBorder="1" applyAlignment="1">
      <alignment horizontal="left"/>
    </xf>
    <xf numFmtId="43" fontId="31" fillId="2" borderId="5" xfId="2" applyNumberFormat="1" applyFont="1" applyFill="1" applyBorder="1" applyAlignment="1">
      <alignment horizontal="left"/>
    </xf>
    <xf numFmtId="43" fontId="30" fillId="2" borderId="5" xfId="2" applyNumberFormat="1" applyFont="1" applyFill="1" applyBorder="1" applyAlignment="1">
      <alignment horizontal="left"/>
    </xf>
    <xf numFmtId="43" fontId="31" fillId="2" borderId="39" xfId="2" applyNumberFormat="1" applyFont="1" applyFill="1" applyBorder="1" applyAlignment="1">
      <alignment horizontal="left"/>
    </xf>
    <xf numFmtId="43" fontId="31" fillId="2" borderId="5" xfId="1" applyFont="1" applyFill="1" applyBorder="1" applyAlignment="1">
      <alignment horizontal="left"/>
    </xf>
    <xf numFmtId="43" fontId="30" fillId="2" borderId="5" xfId="1" applyFont="1" applyFill="1" applyBorder="1" applyAlignment="1">
      <alignment horizontal="left"/>
    </xf>
    <xf numFmtId="43" fontId="30" fillId="2" borderId="39" xfId="1" applyFont="1" applyFill="1" applyBorder="1" applyAlignment="1">
      <alignment horizontal="left"/>
    </xf>
    <xf numFmtId="43" fontId="13" fillId="2" borderId="39" xfId="1" applyFont="1" applyFill="1" applyBorder="1" applyAlignment="1">
      <alignment horizontal="left"/>
    </xf>
    <xf numFmtId="43" fontId="131" fillId="2" borderId="6" xfId="1" applyFont="1" applyFill="1" applyBorder="1" applyAlignment="1">
      <alignment horizontal="left"/>
    </xf>
    <xf numFmtId="43" fontId="31" fillId="2" borderId="39" xfId="1" applyFont="1" applyFill="1" applyBorder="1" applyAlignment="1">
      <alignment horizontal="left"/>
    </xf>
    <xf numFmtId="3" fontId="13" fillId="2" borderId="28" xfId="1" applyNumberFormat="1" applyFont="1" applyFill="1" applyBorder="1" applyAlignment="1">
      <alignment horizontal="left"/>
    </xf>
    <xf numFmtId="43" fontId="106" fillId="2" borderId="5" xfId="1" applyFont="1" applyFill="1" applyBorder="1" applyAlignment="1">
      <alignment horizontal="left"/>
    </xf>
    <xf numFmtId="43" fontId="132" fillId="2" borderId="5" xfId="1" applyFont="1" applyFill="1" applyBorder="1" applyAlignment="1">
      <alignment horizontal="left"/>
    </xf>
    <xf numFmtId="43" fontId="106" fillId="2" borderId="39" xfId="1" applyFont="1" applyFill="1" applyBorder="1" applyAlignment="1">
      <alignment horizontal="left"/>
    </xf>
    <xf numFmtId="43" fontId="31" fillId="2" borderId="6" xfId="1" applyFont="1" applyFill="1" applyBorder="1" applyAlignment="1">
      <alignment horizontal="left"/>
    </xf>
    <xf numFmtId="43" fontId="13" fillId="2" borderId="6" xfId="1" applyFont="1" applyFill="1" applyBorder="1" applyAlignment="1">
      <alignment horizontal="left"/>
    </xf>
    <xf numFmtId="43" fontId="31" fillId="2" borderId="6" xfId="2" applyNumberFormat="1" applyFont="1" applyFill="1" applyBorder="1" applyAlignment="1">
      <alignment horizontal="left"/>
    </xf>
    <xf numFmtId="43" fontId="133" fillId="2" borderId="5" xfId="1" applyFont="1" applyFill="1" applyBorder="1" applyAlignment="1">
      <alignment horizontal="left"/>
    </xf>
    <xf numFmtId="43" fontId="31" fillId="2" borderId="26" xfId="2" applyNumberFormat="1" applyFont="1" applyFill="1" applyBorder="1" applyAlignment="1">
      <alignment horizontal="left"/>
    </xf>
    <xf numFmtId="43" fontId="31" fillId="2" borderId="38" xfId="1" applyFont="1" applyFill="1" applyBorder="1" applyAlignment="1">
      <alignment horizontal="left"/>
    </xf>
    <xf numFmtId="43" fontId="13" fillId="2" borderId="38" xfId="1" applyFont="1" applyFill="1" applyBorder="1" applyAlignment="1">
      <alignment horizontal="left"/>
    </xf>
    <xf numFmtId="166" fontId="73" fillId="2" borderId="6" xfId="2" applyNumberFormat="1" applyFont="1" applyFill="1" applyBorder="1" applyAlignment="1">
      <alignment horizontal="left"/>
    </xf>
    <xf numFmtId="43" fontId="31" fillId="2" borderId="5" xfId="1" applyFont="1" applyFill="1" applyBorder="1"/>
    <xf numFmtId="1" fontId="39" fillId="2" borderId="5" xfId="1" applyNumberFormat="1" applyFont="1" applyFill="1" applyBorder="1" applyAlignment="1">
      <alignment horizontal="left"/>
    </xf>
    <xf numFmtId="1" fontId="39" fillId="2" borderId="6" xfId="1" applyNumberFormat="1" applyFont="1" applyFill="1" applyBorder="1" applyAlignment="1">
      <alignment horizontal="left"/>
    </xf>
    <xf numFmtId="164" fontId="39" fillId="2" borderId="5" xfId="1" applyNumberFormat="1" applyFont="1" applyFill="1" applyBorder="1" applyAlignment="1">
      <alignment horizontal="left"/>
    </xf>
    <xf numFmtId="43" fontId="41" fillId="2" borderId="6" xfId="1" applyFont="1" applyFill="1" applyBorder="1" applyAlignment="1">
      <alignment horizontal="left"/>
    </xf>
    <xf numFmtId="164" fontId="41" fillId="2" borderId="5" xfId="1" applyNumberFormat="1" applyFont="1" applyFill="1" applyBorder="1" applyAlignment="1">
      <alignment horizontal="left"/>
    </xf>
    <xf numFmtId="43" fontId="50" fillId="2" borderId="5" xfId="1" applyFont="1" applyFill="1" applyBorder="1" applyAlignment="1">
      <alignment horizontal="left"/>
    </xf>
    <xf numFmtId="4" fontId="89" fillId="2" borderId="28" xfId="1" applyNumberFormat="1" applyFont="1" applyFill="1" applyBorder="1" applyAlignment="1">
      <alignment horizontal="left"/>
    </xf>
    <xf numFmtId="43" fontId="89" fillId="2" borderId="28" xfId="1" applyFont="1" applyFill="1" applyBorder="1" applyAlignment="1">
      <alignment horizontal="left"/>
    </xf>
    <xf numFmtId="0" fontId="20" fillId="0" borderId="5" xfId="0" applyFont="1" applyBorder="1"/>
    <xf numFmtId="0" fontId="108" fillId="2" borderId="5" xfId="1" applyNumberFormat="1" applyFont="1" applyFill="1" applyBorder="1" applyAlignment="1">
      <alignment horizontal="left"/>
    </xf>
    <xf numFmtId="0" fontId="134" fillId="2" borderId="5" xfId="1" applyNumberFormat="1" applyFont="1" applyFill="1" applyBorder="1" applyAlignment="1">
      <alignment horizontal="left"/>
    </xf>
    <xf numFmtId="43" fontId="134" fillId="2" borderId="5" xfId="1" applyFont="1" applyFill="1" applyBorder="1" applyAlignment="1">
      <alignment horizontal="left"/>
    </xf>
    <xf numFmtId="0" fontId="20" fillId="0" borderId="5" xfId="0" applyFont="1" applyBorder="1" applyAlignment="1">
      <alignment wrapText="1"/>
    </xf>
    <xf numFmtId="43" fontId="0" fillId="0" borderId="5" xfId="0" applyNumberFormat="1" applyBorder="1"/>
    <xf numFmtId="0" fontId="135" fillId="2" borderId="5" xfId="1" applyNumberFormat="1" applyFont="1" applyFill="1" applyBorder="1" applyAlignment="1">
      <alignment horizontal="left"/>
    </xf>
    <xf numFmtId="0" fontId="20" fillId="3" borderId="5" xfId="0" applyFont="1" applyFill="1" applyBorder="1"/>
    <xf numFmtId="164" fontId="76" fillId="0" borderId="5" xfId="1" applyNumberFormat="1" applyFont="1" applyBorder="1"/>
    <xf numFmtId="43" fontId="20" fillId="0" borderId="5" xfId="0" applyNumberFormat="1" applyFont="1" applyBorder="1"/>
    <xf numFmtId="164" fontId="25" fillId="2" borderId="58" xfId="1" applyNumberFormat="1" applyFont="1" applyFill="1" applyBorder="1"/>
    <xf numFmtId="43" fontId="84" fillId="0" borderId="52" xfId="1" applyFont="1" applyBorder="1"/>
    <xf numFmtId="1" fontId="80" fillId="2" borderId="0" xfId="0" applyNumberFormat="1" applyFont="1" applyFill="1" applyBorder="1" applyAlignment="1">
      <alignment horizontal="left"/>
    </xf>
    <xf numFmtId="43" fontId="86" fillId="2" borderId="0" xfId="1" applyFont="1" applyFill="1" applyBorder="1" applyAlignment="1">
      <alignment horizontal="center"/>
    </xf>
    <xf numFmtId="43" fontId="58" fillId="0" borderId="0" xfId="1" applyFont="1" applyBorder="1"/>
    <xf numFmtId="43" fontId="11" fillId="0" borderId="0" xfId="1" applyFont="1" applyBorder="1"/>
    <xf numFmtId="43" fontId="10" fillId="0" borderId="0" xfId="1" applyFont="1" applyBorder="1"/>
    <xf numFmtId="43" fontId="58" fillId="2" borderId="0" xfId="1" applyFont="1" applyFill="1" applyBorder="1"/>
    <xf numFmtId="43" fontId="11" fillId="2" borderId="0" xfId="1" applyFont="1" applyFill="1" applyBorder="1"/>
    <xf numFmtId="43" fontId="11" fillId="2" borderId="0" xfId="1" applyFont="1" applyFill="1"/>
    <xf numFmtId="0" fontId="114" fillId="2" borderId="0" xfId="0" applyNumberFormat="1" applyFont="1" applyFill="1" applyAlignment="1">
      <alignment horizontal="left"/>
    </xf>
    <xf numFmtId="0" fontId="122" fillId="2" borderId="0" xfId="0" applyNumberFormat="1" applyFont="1" applyFill="1" applyAlignment="1">
      <alignment horizontal="left"/>
    </xf>
    <xf numFmtId="164" fontId="73" fillId="2" borderId="6" xfId="2" applyNumberFormat="1" applyFont="1" applyFill="1" applyBorder="1" applyAlignment="1">
      <alignment horizontal="left"/>
    </xf>
    <xf numFmtId="43" fontId="119" fillId="2" borderId="5" xfId="1" applyFont="1" applyFill="1" applyBorder="1" applyAlignment="1">
      <alignment horizontal="left"/>
    </xf>
    <xf numFmtId="43" fontId="136" fillId="2" borderId="5" xfId="1" applyFont="1" applyFill="1" applyBorder="1" applyAlignment="1">
      <alignment horizontal="left"/>
    </xf>
    <xf numFmtId="43" fontId="136" fillId="2" borderId="26" xfId="1" applyFont="1" applyFill="1" applyBorder="1" applyAlignment="1">
      <alignment horizontal="left"/>
    </xf>
    <xf numFmtId="43" fontId="136" fillId="2" borderId="5" xfId="1" applyFont="1" applyFill="1" applyBorder="1"/>
    <xf numFmtId="43" fontId="119" fillId="2" borderId="39" xfId="1" applyFont="1" applyFill="1" applyBorder="1" applyAlignment="1">
      <alignment horizontal="left"/>
    </xf>
    <xf numFmtId="0" fontId="119" fillId="0" borderId="0" xfId="0" applyFont="1"/>
    <xf numFmtId="43" fontId="119" fillId="2" borderId="5" xfId="1" applyFont="1" applyFill="1" applyBorder="1" applyAlignment="1">
      <alignment horizontal="left" wrapText="1"/>
    </xf>
    <xf numFmtId="43" fontId="96" fillId="2" borderId="5" xfId="1" applyFont="1" applyFill="1" applyBorder="1" applyAlignment="1">
      <alignment horizontal="left"/>
    </xf>
    <xf numFmtId="164" fontId="96" fillId="2" borderId="5" xfId="1" applyNumberFormat="1" applyFont="1" applyFill="1" applyBorder="1" applyAlignment="1">
      <alignment horizontal="left"/>
    </xf>
    <xf numFmtId="0" fontId="105" fillId="2" borderId="5" xfId="1" applyNumberFormat="1" applyFont="1" applyFill="1" applyBorder="1" applyAlignment="1">
      <alignment horizontal="left"/>
    </xf>
    <xf numFmtId="43" fontId="96" fillId="2" borderId="5" xfId="2" applyNumberFormat="1" applyFont="1" applyFill="1" applyBorder="1" applyAlignment="1">
      <alignment horizontal="left"/>
    </xf>
    <xf numFmtId="0" fontId="105" fillId="5" borderId="5" xfId="1" applyNumberFormat="1" applyFont="1" applyFill="1" applyBorder="1" applyAlignment="1">
      <alignment horizontal="left"/>
    </xf>
    <xf numFmtId="43" fontId="137" fillId="2" borderId="5" xfId="1" applyFont="1" applyFill="1" applyBorder="1" applyAlignment="1">
      <alignment horizontal="left"/>
    </xf>
    <xf numFmtId="0" fontId="96" fillId="5" borderId="5" xfId="1" applyNumberFormat="1" applyFont="1" applyFill="1" applyBorder="1" applyAlignment="1">
      <alignment horizontal="left"/>
    </xf>
    <xf numFmtId="164" fontId="138" fillId="2" borderId="5" xfId="1" applyNumberFormat="1" applyFont="1" applyFill="1" applyBorder="1" applyAlignment="1">
      <alignment horizontal="left" vertical="center"/>
    </xf>
    <xf numFmtId="43" fontId="105" fillId="2" borderId="5" xfId="1" applyFont="1" applyFill="1" applyBorder="1"/>
    <xf numFmtId="0" fontId="137" fillId="2" borderId="5" xfId="1" applyNumberFormat="1" applyFont="1" applyFill="1" applyBorder="1" applyAlignment="1">
      <alignment horizontal="left"/>
    </xf>
    <xf numFmtId="164" fontId="137" fillId="2" borderId="5" xfId="1" applyNumberFormat="1" applyFont="1" applyFill="1" applyBorder="1" applyAlignment="1">
      <alignment horizontal="left"/>
    </xf>
    <xf numFmtId="164" fontId="97" fillId="2" borderId="5" xfId="1" applyNumberFormat="1" applyFont="1" applyFill="1" applyBorder="1" applyAlignment="1">
      <alignment horizontal="left"/>
    </xf>
    <xf numFmtId="0" fontId="137" fillId="5" borderId="5" xfId="1" applyNumberFormat="1" applyFont="1" applyFill="1" applyBorder="1" applyAlignment="1">
      <alignment horizontal="left"/>
    </xf>
    <xf numFmtId="3" fontId="105" fillId="2" borderId="5" xfId="1" applyNumberFormat="1" applyFont="1" applyFill="1" applyBorder="1" applyAlignment="1">
      <alignment horizontal="left"/>
    </xf>
    <xf numFmtId="3" fontId="137" fillId="2" borderId="5" xfId="1" applyNumberFormat="1" applyFont="1" applyFill="1" applyBorder="1" applyAlignment="1">
      <alignment horizontal="left"/>
    </xf>
    <xf numFmtId="0" fontId="130" fillId="2" borderId="0" xfId="0" applyNumberFormat="1" applyFont="1" applyFill="1" applyBorder="1" applyAlignment="1">
      <alignment horizontal="left"/>
    </xf>
    <xf numFmtId="43" fontId="130" fillId="2" borderId="0" xfId="0" applyNumberFormat="1" applyFont="1" applyFill="1" applyBorder="1" applyAlignment="1">
      <alignment horizontal="left"/>
    </xf>
    <xf numFmtId="43" fontId="139" fillId="0" borderId="0" xfId="1" applyFont="1" applyBorder="1"/>
    <xf numFmtId="43" fontId="130" fillId="2" borderId="0" xfId="1" applyFont="1" applyFill="1" applyBorder="1" applyAlignment="1">
      <alignment horizontal="left"/>
    </xf>
    <xf numFmtId="0" fontId="140" fillId="0" borderId="0" xfId="0" applyFont="1" applyBorder="1" applyAlignment="1">
      <alignment horizontal="left"/>
    </xf>
    <xf numFmtId="0" fontId="128" fillId="2" borderId="0" xfId="0" applyNumberFormat="1" applyFont="1" applyFill="1" applyBorder="1" applyAlignment="1">
      <alignment horizontal="left"/>
    </xf>
    <xf numFmtId="0" fontId="141" fillId="0" borderId="0" xfId="0" applyFont="1" applyBorder="1" applyAlignment="1">
      <alignment horizontal="left"/>
    </xf>
    <xf numFmtId="43" fontId="128" fillId="2" borderId="0" xfId="1" applyFont="1" applyFill="1" applyBorder="1" applyAlignment="1">
      <alignment horizontal="left"/>
    </xf>
    <xf numFmtId="43" fontId="141" fillId="0" borderId="0" xfId="1" applyFont="1" applyBorder="1" applyAlignment="1">
      <alignment horizontal="left"/>
    </xf>
    <xf numFmtId="43" fontId="142" fillId="2" borderId="0" xfId="1" applyFont="1" applyFill="1" applyBorder="1" applyAlignment="1">
      <alignment horizontal="center"/>
    </xf>
    <xf numFmtId="43" fontId="142" fillId="2" borderId="0" xfId="1" applyFont="1" applyFill="1" applyBorder="1"/>
    <xf numFmtId="12" fontId="90" fillId="2" borderId="5" xfId="1" applyNumberFormat="1" applyFont="1" applyFill="1" applyBorder="1" applyAlignment="1">
      <alignment horizontal="left"/>
    </xf>
    <xf numFmtId="43" fontId="106" fillId="0" borderId="0" xfId="1" applyFont="1" applyAlignment="1">
      <alignment horizontal="left"/>
    </xf>
    <xf numFmtId="0" fontId="106" fillId="0" borderId="0" xfId="0" applyFont="1" applyAlignment="1">
      <alignment horizontal="left"/>
    </xf>
    <xf numFmtId="164" fontId="17" fillId="2" borderId="5" xfId="1" applyNumberFormat="1" applyFont="1" applyFill="1" applyBorder="1" applyAlignment="1">
      <alignment horizontal="left"/>
    </xf>
    <xf numFmtId="164" fontId="63" fillId="2" borderId="5" xfId="1" applyNumberFormat="1" applyFont="1" applyFill="1" applyBorder="1" applyAlignment="1">
      <alignment horizontal="left"/>
    </xf>
    <xf numFmtId="164" fontId="83" fillId="2" borderId="5" xfId="1" applyNumberFormat="1" applyFont="1" applyFill="1" applyBorder="1" applyAlignment="1">
      <alignment horizontal="left"/>
    </xf>
    <xf numFmtId="164" fontId="54" fillId="2" borderId="5" xfId="1" applyNumberFormat="1" applyFont="1" applyFill="1" applyBorder="1" applyAlignment="1">
      <alignment horizontal="left"/>
    </xf>
    <xf numFmtId="164" fontId="13" fillId="2" borderId="5" xfId="1" applyNumberFormat="1" applyFont="1" applyFill="1" applyBorder="1" applyAlignment="1">
      <alignment horizontal="left" vertical="top"/>
    </xf>
    <xf numFmtId="164" fontId="29" fillId="2" borderId="0" xfId="1" applyNumberFormat="1" applyFont="1" applyFill="1"/>
    <xf numFmtId="164" fontId="17" fillId="2" borderId="38" xfId="1" applyNumberFormat="1" applyFont="1" applyFill="1" applyBorder="1" applyAlignment="1">
      <alignment horizontal="left"/>
    </xf>
    <xf numFmtId="164" fontId="14" fillId="2" borderId="38" xfId="1" applyNumberFormat="1" applyFont="1" applyFill="1" applyBorder="1" applyAlignment="1">
      <alignment horizontal="left"/>
    </xf>
    <xf numFmtId="164" fontId="89" fillId="2" borderId="0" xfId="1" applyNumberFormat="1" applyFont="1" applyFill="1" applyBorder="1" applyAlignment="1">
      <alignment horizontal="left"/>
    </xf>
    <xf numFmtId="43" fontId="132" fillId="2" borderId="5" xfId="2" applyNumberFormat="1" applyFont="1" applyFill="1" applyBorder="1" applyAlignment="1">
      <alignment horizontal="left"/>
    </xf>
    <xf numFmtId="43" fontId="106" fillId="2" borderId="5" xfId="2" applyNumberFormat="1" applyFont="1" applyFill="1" applyBorder="1" applyAlignment="1">
      <alignment horizontal="left"/>
    </xf>
    <xf numFmtId="43" fontId="132" fillId="2" borderId="39" xfId="2" applyNumberFormat="1" applyFont="1" applyFill="1" applyBorder="1" applyAlignment="1">
      <alignment horizontal="left"/>
    </xf>
    <xf numFmtId="164" fontId="16" fillId="2" borderId="28" xfId="1" applyNumberFormat="1" applyFont="1" applyFill="1" applyBorder="1" applyAlignment="1">
      <alignment horizontal="left"/>
    </xf>
    <xf numFmtId="0" fontId="13" fillId="2" borderId="28" xfId="1" applyNumberFormat="1" applyFont="1" applyFill="1" applyBorder="1" applyAlignment="1">
      <alignment horizontal="left"/>
    </xf>
    <xf numFmtId="43" fontId="13" fillId="2" borderId="28" xfId="1" applyNumberFormat="1" applyFont="1" applyFill="1" applyBorder="1" applyAlignment="1">
      <alignment horizontal="left"/>
    </xf>
    <xf numFmtId="164" fontId="143" fillId="2" borderId="28" xfId="1" applyNumberFormat="1" applyFont="1" applyFill="1" applyBorder="1" applyAlignment="1">
      <alignment horizontal="left"/>
    </xf>
    <xf numFmtId="3" fontId="13" fillId="2" borderId="5" xfId="1" applyNumberFormat="1" applyFont="1" applyFill="1" applyBorder="1" applyAlignment="1">
      <alignment horizontal="left"/>
    </xf>
    <xf numFmtId="4" fontId="131" fillId="2" borderId="5" xfId="1" applyNumberFormat="1" applyFont="1" applyFill="1" applyBorder="1" applyAlignment="1">
      <alignment horizontal="left"/>
    </xf>
    <xf numFmtId="4" fontId="13" fillId="2" borderId="5" xfId="1" applyNumberFormat="1" applyFont="1" applyFill="1" applyBorder="1" applyAlignment="1">
      <alignment horizontal="left"/>
    </xf>
    <xf numFmtId="3" fontId="131" fillId="2" borderId="5" xfId="1" applyNumberFormat="1" applyFont="1" applyFill="1" applyBorder="1" applyAlignment="1">
      <alignment horizontal="left"/>
    </xf>
    <xf numFmtId="43" fontId="13" fillId="2" borderId="53" xfId="1" applyFont="1" applyFill="1" applyBorder="1" applyAlignment="1">
      <alignment horizontal="left"/>
    </xf>
    <xf numFmtId="164" fontId="13" fillId="2" borderId="5" xfId="1" applyNumberFormat="1" applyFont="1" applyFill="1" applyBorder="1" applyAlignment="1">
      <alignment horizontal="left"/>
    </xf>
    <xf numFmtId="2" fontId="131" fillId="2" borderId="5" xfId="1" applyNumberFormat="1" applyFont="1" applyFill="1" applyBorder="1" applyAlignment="1">
      <alignment horizontal="left"/>
    </xf>
    <xf numFmtId="0" fontId="131" fillId="2" borderId="5" xfId="1" applyNumberFormat="1" applyFont="1" applyFill="1" applyBorder="1" applyAlignment="1">
      <alignment horizontal="left"/>
    </xf>
    <xf numFmtId="2" fontId="13" fillId="2" borderId="5" xfId="1" applyNumberFormat="1" applyFont="1" applyFill="1" applyBorder="1" applyAlignment="1">
      <alignment horizontal="left"/>
    </xf>
    <xf numFmtId="0" fontId="13" fillId="2" borderId="5" xfId="1" applyNumberFormat="1" applyFont="1" applyFill="1" applyBorder="1" applyAlignment="1">
      <alignment horizontal="left"/>
    </xf>
    <xf numFmtId="164" fontId="131" fillId="2" borderId="5" xfId="1" applyNumberFormat="1" applyFont="1" applyFill="1" applyBorder="1" applyAlignment="1">
      <alignment horizontal="left"/>
    </xf>
    <xf numFmtId="164" fontId="145" fillId="2" borderId="5" xfId="1" applyNumberFormat="1" applyFont="1" applyFill="1" applyBorder="1" applyAlignment="1">
      <alignment horizontal="left"/>
    </xf>
    <xf numFmtId="164" fontId="143" fillId="2" borderId="5" xfId="1" applyNumberFormat="1" applyFont="1" applyFill="1" applyBorder="1" applyAlignment="1">
      <alignment horizontal="left"/>
    </xf>
    <xf numFmtId="43" fontId="145" fillId="2" borderId="5" xfId="1" applyFont="1" applyFill="1" applyBorder="1" applyAlignment="1">
      <alignment horizontal="left"/>
    </xf>
    <xf numFmtId="12" fontId="13" fillId="2" borderId="5" xfId="1" applyNumberFormat="1" applyFont="1" applyFill="1" applyBorder="1" applyAlignment="1">
      <alignment horizontal="left"/>
    </xf>
    <xf numFmtId="2" fontId="143" fillId="2" borderId="5" xfId="1" applyNumberFormat="1" applyFont="1" applyFill="1" applyBorder="1" applyAlignment="1">
      <alignment horizontal="left"/>
    </xf>
    <xf numFmtId="0" fontId="143" fillId="2" borderId="5" xfId="1" applyNumberFormat="1" applyFont="1" applyFill="1" applyBorder="1" applyAlignment="1">
      <alignment horizontal="left"/>
    </xf>
    <xf numFmtId="164" fontId="74" fillId="2" borderId="5" xfId="1" applyNumberFormat="1" applyFont="1" applyFill="1" applyBorder="1" applyAlignment="1">
      <alignment horizontal="left"/>
    </xf>
    <xf numFmtId="2" fontId="13" fillId="2" borderId="6" xfId="1" applyNumberFormat="1" applyFont="1" applyFill="1" applyBorder="1" applyAlignment="1">
      <alignment horizontal="left"/>
    </xf>
    <xf numFmtId="2" fontId="143" fillId="2" borderId="6" xfId="1" applyNumberFormat="1" applyFont="1" applyFill="1" applyBorder="1" applyAlignment="1">
      <alignment horizontal="left"/>
    </xf>
    <xf numFmtId="2" fontId="13" fillId="2" borderId="39" xfId="1" applyNumberFormat="1" applyFont="1" applyFill="1" applyBorder="1" applyAlignment="1">
      <alignment horizontal="left"/>
    </xf>
    <xf numFmtId="0" fontId="13" fillId="2" borderId="39" xfId="1" applyNumberFormat="1" applyFont="1" applyFill="1" applyBorder="1" applyAlignment="1">
      <alignment horizontal="left"/>
    </xf>
    <xf numFmtId="164" fontId="13" fillId="2" borderId="39" xfId="1" applyNumberFormat="1" applyFont="1" applyFill="1" applyBorder="1" applyAlignment="1">
      <alignment horizontal="left"/>
    </xf>
    <xf numFmtId="164" fontId="145" fillId="2" borderId="39" xfId="1" applyNumberFormat="1" applyFont="1" applyFill="1" applyBorder="1" applyAlignment="1">
      <alignment horizontal="left"/>
    </xf>
    <xf numFmtId="164" fontId="143" fillId="2" borderId="39" xfId="1" applyNumberFormat="1" applyFont="1" applyFill="1" applyBorder="1" applyAlignment="1">
      <alignment horizontal="left"/>
    </xf>
    <xf numFmtId="164" fontId="131" fillId="2" borderId="39" xfId="1" applyNumberFormat="1" applyFont="1" applyFill="1" applyBorder="1" applyAlignment="1">
      <alignment horizontal="left"/>
    </xf>
    <xf numFmtId="2" fontId="131" fillId="2" borderId="39" xfId="1" applyNumberFormat="1" applyFont="1" applyFill="1" applyBorder="1" applyAlignment="1">
      <alignment horizontal="left"/>
    </xf>
    <xf numFmtId="0" fontId="131" fillId="2" borderId="39" xfId="1" applyNumberFormat="1" applyFont="1" applyFill="1" applyBorder="1" applyAlignment="1">
      <alignment horizontal="left"/>
    </xf>
    <xf numFmtId="43" fontId="131" fillId="2" borderId="39" xfId="1" applyFont="1" applyFill="1" applyBorder="1" applyAlignment="1">
      <alignment horizontal="left"/>
    </xf>
    <xf numFmtId="43" fontId="145" fillId="2" borderId="39" xfId="1" applyFont="1" applyFill="1" applyBorder="1" applyAlignment="1">
      <alignment horizontal="left"/>
    </xf>
    <xf numFmtId="43" fontId="30" fillId="2" borderId="39" xfId="2" applyNumberFormat="1" applyFont="1" applyFill="1" applyBorder="1" applyAlignment="1">
      <alignment horizontal="left"/>
    </xf>
    <xf numFmtId="43" fontId="16" fillId="2" borderId="12" xfId="1" applyFont="1" applyFill="1" applyBorder="1" applyAlignment="1">
      <alignment horizontal="left" wrapText="1"/>
    </xf>
    <xf numFmtId="43" fontId="16" fillId="0" borderId="5" xfId="1" applyFont="1" applyBorder="1" applyAlignment="1">
      <alignment horizontal="left"/>
    </xf>
    <xf numFmtId="43" fontId="16" fillId="2" borderId="6" xfId="1" applyFont="1" applyFill="1" applyBorder="1" applyAlignment="1">
      <alignment horizontal="left" wrapText="1"/>
    </xf>
    <xf numFmtId="0" fontId="16" fillId="0" borderId="6" xfId="0" applyFont="1" applyFill="1" applyBorder="1" applyAlignment="1">
      <alignment horizontal="left" wrapText="1"/>
    </xf>
    <xf numFmtId="43" fontId="89" fillId="2" borderId="0" xfId="1" applyFont="1" applyFill="1" applyBorder="1"/>
    <xf numFmtId="43" fontId="89" fillId="2" borderId="0" xfId="1" applyFont="1" applyFill="1" applyBorder="1" applyAlignment="1"/>
    <xf numFmtId="43" fontId="89" fillId="2" borderId="0" xfId="1" applyFont="1" applyFill="1" applyBorder="1" applyAlignment="1">
      <alignment horizontal="center"/>
    </xf>
    <xf numFmtId="43" fontId="13" fillId="2" borderId="12" xfId="1" applyFont="1" applyFill="1" applyBorder="1" applyAlignment="1">
      <alignment horizontal="center" wrapText="1"/>
    </xf>
    <xf numFmtId="43" fontId="13" fillId="0" borderId="5" xfId="1" applyFont="1" applyBorder="1" applyAlignment="1">
      <alignment horizontal="center"/>
    </xf>
    <xf numFmtId="43" fontId="13" fillId="2" borderId="6" xfId="1" applyFont="1" applyFill="1" applyBorder="1" applyAlignment="1">
      <alignment horizontal="center" vertical="top" wrapText="1"/>
    </xf>
    <xf numFmtId="0" fontId="13" fillId="0" borderId="6" xfId="0" applyFont="1" applyFill="1" applyBorder="1" applyAlignment="1">
      <alignment horizontal="center" vertical="top" wrapText="1"/>
    </xf>
    <xf numFmtId="164" fontId="133" fillId="2" borderId="17" xfId="1" applyNumberFormat="1" applyFont="1" applyFill="1" applyBorder="1" applyAlignment="1">
      <alignment horizontal="left"/>
    </xf>
    <xf numFmtId="43" fontId="143" fillId="2" borderId="5" xfId="1" applyFont="1" applyFill="1" applyBorder="1" applyAlignment="1">
      <alignment horizontal="left"/>
    </xf>
    <xf numFmtId="43" fontId="39" fillId="2" borderId="26" xfId="1" applyFont="1" applyFill="1" applyBorder="1" applyAlignment="1">
      <alignment horizontal="left"/>
    </xf>
    <xf numFmtId="43" fontId="39" fillId="2" borderId="56" xfId="1" applyFont="1" applyFill="1" applyBorder="1" applyAlignment="1">
      <alignment horizontal="left"/>
    </xf>
    <xf numFmtId="43" fontId="143" fillId="2" borderId="39" xfId="1" applyFont="1" applyFill="1" applyBorder="1" applyAlignment="1">
      <alignment horizontal="left"/>
    </xf>
    <xf numFmtId="43" fontId="39" fillId="2" borderId="58" xfId="1" applyFont="1" applyFill="1" applyBorder="1" applyAlignment="1">
      <alignment horizontal="left"/>
    </xf>
    <xf numFmtId="0" fontId="13" fillId="2" borderId="6" xfId="1" applyNumberFormat="1" applyFont="1" applyFill="1" applyBorder="1" applyAlignment="1">
      <alignment horizontal="left"/>
    </xf>
    <xf numFmtId="164" fontId="13" fillId="2" borderId="6" xfId="1" applyNumberFormat="1" applyFont="1" applyFill="1" applyBorder="1" applyAlignment="1">
      <alignment horizontal="left"/>
    </xf>
    <xf numFmtId="43" fontId="143" fillId="2" borderId="6" xfId="1" applyFont="1" applyFill="1" applyBorder="1" applyAlignment="1">
      <alignment horizontal="left"/>
    </xf>
    <xf numFmtId="0" fontId="133" fillId="2" borderId="5" xfId="1" applyNumberFormat="1" applyFont="1" applyFill="1" applyBorder="1" applyAlignment="1">
      <alignment horizontal="left"/>
    </xf>
    <xf numFmtId="164" fontId="133" fillId="2" borderId="5" xfId="1" applyNumberFormat="1" applyFont="1" applyFill="1" applyBorder="1" applyAlignment="1">
      <alignment horizontal="left"/>
    </xf>
    <xf numFmtId="165" fontId="13" fillId="2" borderId="5" xfId="1" applyNumberFormat="1" applyFont="1" applyFill="1" applyBorder="1" applyAlignment="1">
      <alignment horizontal="left"/>
    </xf>
    <xf numFmtId="165" fontId="13" fillId="2" borderId="38" xfId="1" applyNumberFormat="1" applyFont="1" applyFill="1" applyBorder="1" applyAlignment="1">
      <alignment horizontal="left"/>
    </xf>
    <xf numFmtId="0" fontId="13" fillId="2" borderId="38" xfId="1" applyNumberFormat="1" applyFont="1" applyFill="1" applyBorder="1" applyAlignment="1">
      <alignment horizontal="left"/>
    </xf>
    <xf numFmtId="164" fontId="133" fillId="2" borderId="38" xfId="1" applyNumberFormat="1" applyFont="1" applyFill="1" applyBorder="1" applyAlignment="1">
      <alignment horizontal="left"/>
    </xf>
    <xf numFmtId="43" fontId="13" fillId="2" borderId="65" xfId="1" applyFont="1" applyFill="1" applyBorder="1" applyAlignment="1">
      <alignment horizontal="left"/>
    </xf>
    <xf numFmtId="43" fontId="13" fillId="2" borderId="66" xfId="1" applyNumberFormat="1" applyFont="1" applyFill="1" applyBorder="1" applyAlignment="1">
      <alignment horizontal="left"/>
    </xf>
    <xf numFmtId="43" fontId="0" fillId="0" borderId="67" xfId="1" applyFont="1" applyBorder="1" applyAlignment="1">
      <alignment horizontal="left"/>
    </xf>
    <xf numFmtId="164" fontId="133" fillId="2" borderId="68" xfId="1" applyNumberFormat="1" applyFont="1" applyFill="1" applyBorder="1" applyAlignment="1">
      <alignment horizontal="left"/>
    </xf>
    <xf numFmtId="164" fontId="22" fillId="2" borderId="66" xfId="1" applyNumberFormat="1" applyFont="1" applyFill="1" applyBorder="1" applyAlignment="1">
      <alignment horizontal="left"/>
    </xf>
    <xf numFmtId="43" fontId="13" fillId="2" borderId="69" xfId="1" applyFont="1" applyFill="1" applyBorder="1" applyAlignment="1">
      <alignment horizontal="left"/>
    </xf>
    <xf numFmtId="3" fontId="13" fillId="2" borderId="69" xfId="1" applyNumberFormat="1" applyFont="1" applyFill="1" applyBorder="1" applyAlignment="1">
      <alignment horizontal="left"/>
    </xf>
    <xf numFmtId="0" fontId="13" fillId="2" borderId="69" xfId="1" applyNumberFormat="1" applyFont="1" applyFill="1" applyBorder="1" applyAlignment="1">
      <alignment horizontal="left"/>
    </xf>
    <xf numFmtId="43" fontId="13" fillId="2" borderId="69" xfId="1" applyNumberFormat="1" applyFont="1" applyFill="1" applyBorder="1" applyAlignment="1">
      <alignment horizontal="left"/>
    </xf>
    <xf numFmtId="43" fontId="13" fillId="2" borderId="70" xfId="1" applyNumberFormat="1" applyFont="1" applyFill="1" applyBorder="1" applyAlignment="1">
      <alignment horizontal="left"/>
    </xf>
    <xf numFmtId="164" fontId="143" fillId="2" borderId="71" xfId="1" applyNumberFormat="1" applyFont="1" applyFill="1" applyBorder="1" applyAlignment="1">
      <alignment horizontal="left"/>
    </xf>
    <xf numFmtId="43" fontId="136" fillId="0" borderId="5" xfId="1" applyFont="1" applyBorder="1"/>
    <xf numFmtId="43" fontId="136" fillId="2" borderId="5" xfId="1" applyFont="1" applyFill="1" applyBorder="1" applyAlignment="1">
      <alignment wrapText="1"/>
    </xf>
    <xf numFmtId="43" fontId="136" fillId="2" borderId="5" xfId="1" applyFont="1" applyFill="1" applyBorder="1" applyAlignment="1">
      <alignment horizontal="center" wrapText="1"/>
    </xf>
    <xf numFmtId="0" fontId="136" fillId="0" borderId="5" xfId="0" applyFont="1" applyFill="1" applyBorder="1" applyAlignment="1">
      <alignment horizontal="center" wrapText="1"/>
    </xf>
    <xf numFmtId="43" fontId="136" fillId="2" borderId="5" xfId="1" applyFont="1" applyFill="1" applyBorder="1" applyAlignment="1">
      <alignment horizontal="left" wrapText="1"/>
    </xf>
    <xf numFmtId="164" fontId="136" fillId="2" borderId="5" xfId="1" applyNumberFormat="1" applyFont="1" applyFill="1" applyBorder="1"/>
    <xf numFmtId="43" fontId="147" fillId="2" borderId="5" xfId="1" applyFont="1" applyFill="1" applyBorder="1"/>
    <xf numFmtId="164" fontId="147" fillId="2" borderId="5" xfId="1" applyNumberFormat="1" applyFont="1" applyFill="1" applyBorder="1"/>
    <xf numFmtId="43" fontId="146" fillId="0" borderId="5" xfId="1" applyFont="1" applyBorder="1"/>
    <xf numFmtId="43" fontId="122" fillId="2" borderId="5" xfId="1" applyFont="1" applyFill="1" applyBorder="1"/>
    <xf numFmtId="3" fontId="122" fillId="2" borderId="5" xfId="1" applyNumberFormat="1" applyFont="1" applyFill="1" applyBorder="1"/>
    <xf numFmtId="0" fontId="122" fillId="2" borderId="5" xfId="1" applyNumberFormat="1" applyFont="1" applyFill="1" applyBorder="1"/>
    <xf numFmtId="164" fontId="119" fillId="2" borderId="5" xfId="1" applyNumberFormat="1" applyFont="1" applyFill="1" applyBorder="1" applyAlignment="1">
      <alignment horizontal="left"/>
    </xf>
    <xf numFmtId="164" fontId="136" fillId="2" borderId="5" xfId="1" applyNumberFormat="1" applyFont="1" applyFill="1" applyBorder="1" applyAlignment="1">
      <alignment horizontal="center"/>
    </xf>
    <xf numFmtId="164" fontId="147" fillId="2" borderId="5" xfId="1" applyNumberFormat="1" applyFont="1" applyFill="1" applyBorder="1" applyAlignment="1">
      <alignment horizontal="right"/>
    </xf>
    <xf numFmtId="164" fontId="136" fillId="2" borderId="5" xfId="1" applyNumberFormat="1" applyFont="1" applyFill="1" applyBorder="1" applyAlignment="1">
      <alignment horizontal="right"/>
    </xf>
    <xf numFmtId="164" fontId="136" fillId="2" borderId="5" xfId="1" applyNumberFormat="1" applyFont="1" applyFill="1" applyBorder="1" applyAlignment="1">
      <alignment horizontal="left"/>
    </xf>
    <xf numFmtId="164" fontId="119" fillId="0" borderId="5" xfId="1" applyNumberFormat="1" applyFont="1" applyBorder="1"/>
    <xf numFmtId="164" fontId="119" fillId="2" borderId="5" xfId="2" applyNumberFormat="1" applyFont="1" applyFill="1" applyBorder="1"/>
    <xf numFmtId="164" fontId="122" fillId="2" borderId="5" xfId="1" applyNumberFormat="1" applyFont="1" applyFill="1" applyBorder="1"/>
    <xf numFmtId="164" fontId="89" fillId="2" borderId="0" xfId="1" applyNumberFormat="1" applyFont="1" applyFill="1" applyBorder="1"/>
    <xf numFmtId="43" fontId="1" fillId="0" borderId="0" xfId="1" applyFont="1"/>
    <xf numFmtId="164" fontId="73" fillId="2" borderId="5" xfId="1" applyNumberFormat="1" applyFont="1" applyFill="1" applyBorder="1" applyAlignment="1">
      <alignment horizontal="left"/>
    </xf>
    <xf numFmtId="164" fontId="39" fillId="2" borderId="6" xfId="1" applyNumberFormat="1" applyFont="1" applyFill="1" applyBorder="1" applyAlignment="1">
      <alignment horizontal="left"/>
    </xf>
    <xf numFmtId="164" fontId="73" fillId="2" borderId="6" xfId="1" applyNumberFormat="1" applyFont="1" applyFill="1" applyBorder="1" applyAlignment="1">
      <alignment horizontal="left"/>
    </xf>
    <xf numFmtId="164" fontId="74" fillId="2" borderId="6" xfId="1" applyNumberFormat="1" applyFont="1" applyFill="1" applyBorder="1" applyAlignment="1">
      <alignment horizontal="left"/>
    </xf>
    <xf numFmtId="43" fontId="148" fillId="2" borderId="12" xfId="1" applyFont="1" applyFill="1" applyBorder="1" applyAlignment="1">
      <alignment horizontal="left" wrapText="1"/>
    </xf>
    <xf numFmtId="43" fontId="148" fillId="2" borderId="46" xfId="1" applyFont="1" applyFill="1" applyBorder="1" applyAlignment="1">
      <alignment horizontal="left" wrapText="1"/>
    </xf>
    <xf numFmtId="43" fontId="136" fillId="2" borderId="16" xfId="1" applyFont="1" applyFill="1" applyBorder="1" applyAlignment="1">
      <alignment horizontal="left" wrapText="1"/>
    </xf>
    <xf numFmtId="0" fontId="136" fillId="0" borderId="6" xfId="0" applyFont="1" applyFill="1" applyBorder="1" applyAlignment="1">
      <alignment horizontal="center"/>
    </xf>
    <xf numFmtId="0" fontId="136" fillId="0" borderId="6" xfId="0" applyFont="1" applyFill="1" applyBorder="1" applyAlignment="1">
      <alignment horizontal="left" wrapText="1"/>
    </xf>
    <xf numFmtId="43" fontId="136" fillId="2" borderId="6" xfId="1" applyFont="1" applyFill="1" applyBorder="1" applyAlignment="1">
      <alignment horizontal="left" wrapText="1"/>
    </xf>
    <xf numFmtId="0" fontId="119" fillId="0" borderId="6" xfId="0" applyFont="1" applyBorder="1"/>
    <xf numFmtId="0" fontId="119" fillId="0" borderId="24" xfId="0" applyFont="1" applyBorder="1"/>
    <xf numFmtId="43" fontId="149" fillId="2" borderId="12" xfId="1" applyFont="1" applyFill="1" applyBorder="1" applyAlignment="1">
      <alignment horizontal="left"/>
    </xf>
    <xf numFmtId="43" fontId="114" fillId="2" borderId="28" xfId="1" applyFont="1" applyFill="1" applyBorder="1" applyAlignment="1">
      <alignment horizontal="left"/>
    </xf>
    <xf numFmtId="0" fontId="76" fillId="0" borderId="5" xfId="0" applyFont="1" applyBorder="1"/>
    <xf numFmtId="164" fontId="20" fillId="0" borderId="5" xfId="1" applyNumberFormat="1" applyFont="1" applyBorder="1"/>
    <xf numFmtId="0" fontId="152" fillId="2" borderId="5" xfId="1" applyNumberFormat="1" applyFont="1" applyFill="1" applyBorder="1" applyAlignment="1">
      <alignment horizontal="left"/>
    </xf>
    <xf numFmtId="2" fontId="152" fillId="2" borderId="5" xfId="1" applyNumberFormat="1" applyFont="1" applyFill="1" applyBorder="1" applyAlignment="1">
      <alignment horizontal="left"/>
    </xf>
    <xf numFmtId="0" fontId="153" fillId="2" borderId="5" xfId="1" applyNumberFormat="1" applyFont="1" applyFill="1" applyBorder="1" applyAlignment="1">
      <alignment horizontal="left"/>
    </xf>
    <xf numFmtId="164" fontId="105" fillId="2" borderId="5" xfId="1" applyNumberFormat="1" applyFont="1" applyFill="1" applyBorder="1" applyAlignment="1">
      <alignment horizontal="right" vertical="center"/>
    </xf>
    <xf numFmtId="43" fontId="157" fillId="2" borderId="5" xfId="1" applyFont="1" applyFill="1" applyBorder="1" applyAlignment="1">
      <alignment horizontal="left"/>
    </xf>
    <xf numFmtId="43" fontId="157" fillId="2" borderId="26" xfId="1" applyFont="1" applyFill="1" applyBorder="1" applyAlignment="1">
      <alignment horizontal="left"/>
    </xf>
    <xf numFmtId="43" fontId="133" fillId="2" borderId="26" xfId="1" applyFont="1" applyFill="1" applyBorder="1" applyAlignment="1">
      <alignment horizontal="left"/>
    </xf>
    <xf numFmtId="43" fontId="157" fillId="2" borderId="40" xfId="1" applyFont="1" applyFill="1" applyBorder="1" applyAlignment="1">
      <alignment horizontal="left"/>
    </xf>
    <xf numFmtId="43" fontId="133" fillId="2" borderId="54" xfId="1" applyFont="1" applyFill="1" applyBorder="1" applyAlignment="1">
      <alignment horizontal="left"/>
    </xf>
    <xf numFmtId="43" fontId="158" fillId="2" borderId="5" xfId="1" applyFont="1" applyFill="1" applyBorder="1" applyAlignment="1">
      <alignment horizontal="right"/>
    </xf>
    <xf numFmtId="43" fontId="158" fillId="2" borderId="5" xfId="1" applyFont="1" applyFill="1" applyBorder="1" applyAlignment="1">
      <alignment horizontal="right" vertical="top"/>
    </xf>
    <xf numFmtId="43" fontId="158" fillId="0" borderId="5" xfId="1" applyFont="1" applyBorder="1" applyAlignment="1">
      <alignment horizontal="right" vertical="top"/>
    </xf>
    <xf numFmtId="43" fontId="158" fillId="0" borderId="5" xfId="1" applyFont="1" applyBorder="1"/>
    <xf numFmtId="43" fontId="158" fillId="2" borderId="5" xfId="2" applyNumberFormat="1" applyFont="1" applyFill="1" applyBorder="1"/>
    <xf numFmtId="43" fontId="158" fillId="0" borderId="5" xfId="1" applyFont="1" applyFill="1" applyBorder="1"/>
    <xf numFmtId="43" fontId="158" fillId="2" borderId="5" xfId="2" applyNumberFormat="1" applyFont="1" applyFill="1" applyBorder="1" applyAlignment="1">
      <alignment horizontal="left"/>
    </xf>
    <xf numFmtId="43" fontId="158" fillId="2" borderId="5" xfId="1" applyFont="1" applyFill="1" applyBorder="1"/>
    <xf numFmtId="43" fontId="100" fillId="2" borderId="26" xfId="1" applyFont="1" applyFill="1" applyBorder="1" applyAlignment="1">
      <alignment horizontal="left"/>
    </xf>
    <xf numFmtId="43" fontId="107" fillId="2" borderId="6" xfId="1" applyFont="1" applyFill="1" applyBorder="1" applyAlignment="1">
      <alignment horizontal="left"/>
    </xf>
    <xf numFmtId="43" fontId="100" fillId="2" borderId="38" xfId="1" applyFont="1" applyFill="1" applyBorder="1" applyAlignment="1">
      <alignment horizontal="left"/>
    </xf>
    <xf numFmtId="43" fontId="100" fillId="2" borderId="39" xfId="1" applyFont="1" applyFill="1" applyBorder="1" applyAlignment="1">
      <alignment horizontal="left"/>
    </xf>
    <xf numFmtId="43" fontId="159" fillId="2" borderId="5" xfId="1" applyFont="1" applyFill="1" applyBorder="1" applyAlignment="1">
      <alignment horizontal="left"/>
    </xf>
    <xf numFmtId="43" fontId="160" fillId="2" borderId="5" xfId="1" applyFont="1" applyFill="1" applyBorder="1" applyAlignment="1">
      <alignment horizontal="left"/>
    </xf>
    <xf numFmtId="43" fontId="161" fillId="2" borderId="5" xfId="1" applyFont="1" applyFill="1" applyBorder="1" applyAlignment="1">
      <alignment horizontal="left"/>
    </xf>
    <xf numFmtId="43" fontId="110" fillId="2" borderId="26" xfId="1" applyFont="1" applyFill="1" applyBorder="1" applyAlignment="1">
      <alignment horizontal="left"/>
    </xf>
    <xf numFmtId="43" fontId="110" fillId="2" borderId="56" xfId="1" applyFont="1" applyFill="1" applyBorder="1" applyAlignment="1">
      <alignment horizontal="left"/>
    </xf>
    <xf numFmtId="43" fontId="110" fillId="2" borderId="58" xfId="1" applyFont="1" applyFill="1" applyBorder="1" applyAlignment="1">
      <alignment horizontal="left"/>
    </xf>
    <xf numFmtId="43" fontId="110" fillId="2" borderId="6" xfId="1" applyFont="1" applyFill="1" applyBorder="1" applyAlignment="1">
      <alignment horizontal="left"/>
    </xf>
    <xf numFmtId="43" fontId="110" fillId="2" borderId="38" xfId="1" applyFont="1" applyFill="1" applyBorder="1" applyAlignment="1">
      <alignment horizontal="left"/>
    </xf>
    <xf numFmtId="43" fontId="162" fillId="2" borderId="5" xfId="1" applyFont="1" applyFill="1" applyBorder="1" applyAlignment="1">
      <alignment horizontal="left"/>
    </xf>
    <xf numFmtId="43" fontId="110" fillId="2" borderId="5" xfId="1" applyFont="1" applyFill="1" applyBorder="1"/>
    <xf numFmtId="43" fontId="162" fillId="2" borderId="39" xfId="1" applyFont="1" applyFill="1" applyBorder="1" applyAlignment="1">
      <alignment horizontal="left"/>
    </xf>
    <xf numFmtId="164" fontId="162" fillId="2" borderId="5" xfId="1" applyNumberFormat="1" applyFont="1" applyFill="1" applyBorder="1" applyAlignment="1">
      <alignment horizontal="left"/>
    </xf>
    <xf numFmtId="164" fontId="143" fillId="2" borderId="69" xfId="1" applyNumberFormat="1" applyFont="1" applyFill="1" applyBorder="1" applyAlignment="1">
      <alignment horizontal="left"/>
    </xf>
    <xf numFmtId="164" fontId="163" fillId="2" borderId="5" xfId="1" applyNumberFormat="1" applyFont="1" applyFill="1" applyBorder="1" applyAlignment="1">
      <alignment horizontal="left"/>
    </xf>
    <xf numFmtId="0" fontId="39" fillId="2" borderId="5" xfId="1" applyNumberFormat="1" applyFont="1" applyFill="1" applyBorder="1" applyAlignment="1">
      <alignment horizontal="right"/>
    </xf>
    <xf numFmtId="164" fontId="98" fillId="0" borderId="5" xfId="1" applyNumberFormat="1" applyFont="1" applyBorder="1" applyAlignment="1">
      <alignment horizontal="center"/>
    </xf>
    <xf numFmtId="0" fontId="155" fillId="0" borderId="5" xfId="0" applyFont="1" applyFill="1" applyBorder="1" applyAlignment="1">
      <alignment horizontal="center"/>
    </xf>
    <xf numFmtId="0" fontId="156" fillId="0" borderId="5" xfId="0" applyFont="1" applyBorder="1"/>
    <xf numFmtId="164" fontId="90" fillId="2" borderId="5" xfId="1" applyNumberFormat="1" applyFont="1" applyFill="1" applyBorder="1" applyAlignment="1">
      <alignment horizontal="left"/>
    </xf>
    <xf numFmtId="0" fontId="91" fillId="0" borderId="5" xfId="0" applyFont="1" applyBorder="1"/>
    <xf numFmtId="43" fontId="96" fillId="2" borderId="5" xfId="1" applyFont="1" applyFill="1" applyBorder="1" applyAlignment="1">
      <alignment horizontal="left"/>
    </xf>
    <xf numFmtId="0" fontId="97" fillId="0" borderId="5" xfId="0" applyFont="1" applyBorder="1"/>
    <xf numFmtId="43" fontId="90" fillId="2" borderId="5" xfId="1" applyFont="1" applyFill="1" applyBorder="1" applyAlignment="1">
      <alignment horizontal="left" wrapText="1"/>
    </xf>
    <xf numFmtId="43" fontId="99" fillId="2" borderId="5" xfId="1" applyFont="1" applyFill="1" applyBorder="1" applyAlignment="1">
      <alignment horizontal="left" wrapText="1"/>
    </xf>
    <xf numFmtId="0" fontId="154" fillId="0" borderId="5" xfId="0" applyFont="1" applyBorder="1"/>
    <xf numFmtId="43" fontId="90" fillId="2" borderId="5" xfId="1" applyFont="1" applyFill="1" applyBorder="1" applyAlignment="1">
      <alignment horizontal="left"/>
    </xf>
    <xf numFmtId="164" fontId="98" fillId="0" borderId="5" xfId="1" applyNumberFormat="1" applyFont="1" applyBorder="1" applyAlignment="1">
      <alignment horizontal="center" vertical="center"/>
    </xf>
    <xf numFmtId="43" fontId="130" fillId="2" borderId="5" xfId="1" applyFont="1" applyFill="1" applyBorder="1" applyAlignment="1">
      <alignment horizontal="center" wrapText="1"/>
    </xf>
    <xf numFmtId="164" fontId="62" fillId="0" borderId="10" xfId="1" applyNumberFormat="1" applyFont="1" applyBorder="1" applyAlignment="1">
      <alignment horizontal="center"/>
    </xf>
    <xf numFmtId="43" fontId="41" fillId="2" borderId="18" xfId="1" applyFont="1" applyFill="1" applyBorder="1" applyAlignment="1">
      <alignment horizontal="center" wrapText="1"/>
    </xf>
    <xf numFmtId="43" fontId="41" fillId="2" borderId="19" xfId="1" applyFont="1" applyFill="1" applyBorder="1" applyAlignment="1">
      <alignment horizontal="center" wrapText="1"/>
    </xf>
    <xf numFmtId="43" fontId="41" fillId="2" borderId="20" xfId="1" applyFont="1" applyFill="1" applyBorder="1" applyAlignment="1">
      <alignment horizontal="center" wrapText="1"/>
    </xf>
    <xf numFmtId="0" fontId="41" fillId="0" borderId="18" xfId="0" applyFont="1" applyFill="1" applyBorder="1" applyAlignment="1">
      <alignment horizontal="center"/>
    </xf>
    <xf numFmtId="0" fontId="41" fillId="0" borderId="19" xfId="0" applyFont="1" applyFill="1" applyBorder="1" applyAlignment="1">
      <alignment horizontal="center"/>
    </xf>
    <xf numFmtId="0" fontId="41" fillId="0" borderId="20" xfId="0" applyFont="1" applyFill="1" applyBorder="1" applyAlignment="1">
      <alignment horizontal="center"/>
    </xf>
    <xf numFmtId="164" fontId="41" fillId="2" borderId="11" xfId="1" applyNumberFormat="1" applyFont="1" applyFill="1" applyBorder="1" applyAlignment="1">
      <alignment horizontal="left"/>
    </xf>
    <xf numFmtId="164" fontId="41" fillId="2" borderId="15" xfId="1" applyNumberFormat="1" applyFont="1" applyFill="1" applyBorder="1" applyAlignment="1">
      <alignment horizontal="left"/>
    </xf>
    <xf numFmtId="43" fontId="41" fillId="2" borderId="12" xfId="1" applyFont="1" applyFill="1" applyBorder="1" applyAlignment="1">
      <alignment horizontal="left"/>
    </xf>
    <xf numFmtId="43" fontId="41" fillId="2" borderId="6" xfId="1" applyFont="1" applyFill="1" applyBorder="1" applyAlignment="1">
      <alignment horizontal="left"/>
    </xf>
    <xf numFmtId="43" fontId="41" fillId="2" borderId="12" xfId="1" applyFont="1" applyFill="1" applyBorder="1" applyAlignment="1">
      <alignment horizontal="left" wrapText="1"/>
    </xf>
    <xf numFmtId="0" fontId="46" fillId="0" borderId="6" xfId="0" applyFont="1" applyBorder="1" applyAlignment="1">
      <alignment horizontal="left"/>
    </xf>
    <xf numFmtId="43" fontId="41" fillId="2" borderId="6" xfId="1" applyFont="1" applyFill="1" applyBorder="1" applyAlignment="1">
      <alignment horizontal="left" wrapText="1"/>
    </xf>
    <xf numFmtId="164" fontId="62" fillId="0" borderId="21" xfId="1" applyNumberFormat="1" applyFont="1" applyBorder="1" applyAlignment="1">
      <alignment horizontal="left"/>
    </xf>
    <xf numFmtId="164" fontId="62" fillId="0" borderId="22" xfId="1" applyNumberFormat="1" applyFont="1" applyBorder="1" applyAlignment="1">
      <alignment horizontal="left"/>
    </xf>
    <xf numFmtId="43" fontId="52" fillId="2" borderId="23" xfId="1" applyFont="1" applyFill="1" applyBorder="1" applyAlignment="1">
      <alignment horizontal="left"/>
    </xf>
    <xf numFmtId="43" fontId="52" fillId="2" borderId="24" xfId="1" applyFont="1" applyFill="1" applyBorder="1" applyAlignment="1">
      <alignment horizontal="left"/>
    </xf>
    <xf numFmtId="164" fontId="62" fillId="0" borderId="7" xfId="1" applyNumberFormat="1" applyFont="1" applyBorder="1" applyAlignment="1">
      <alignment horizontal="center"/>
    </xf>
    <xf numFmtId="164" fontId="62" fillId="0" borderId="8" xfId="1" applyNumberFormat="1" applyFont="1" applyBorder="1" applyAlignment="1">
      <alignment horizontal="center"/>
    </xf>
    <xf numFmtId="164" fontId="62" fillId="0" borderId="30" xfId="1" applyNumberFormat="1" applyFont="1" applyBorder="1" applyAlignment="1">
      <alignment horizontal="center"/>
    </xf>
    <xf numFmtId="164" fontId="62" fillId="0" borderId="9" xfId="1" applyNumberFormat="1" applyFont="1" applyBorder="1" applyAlignment="1">
      <alignment horizontal="center"/>
    </xf>
    <xf numFmtId="164" fontId="62" fillId="0" borderId="31" xfId="1" applyNumberFormat="1" applyFont="1" applyBorder="1" applyAlignment="1">
      <alignment horizontal="center"/>
    </xf>
    <xf numFmtId="164" fontId="51" fillId="0" borderId="10" xfId="1" applyNumberFormat="1" applyFont="1" applyBorder="1" applyAlignment="1">
      <alignment horizontal="center"/>
    </xf>
    <xf numFmtId="43" fontId="144" fillId="2" borderId="18" xfId="1" applyFont="1" applyFill="1" applyBorder="1" applyAlignment="1">
      <alignment horizontal="center" wrapText="1"/>
    </xf>
    <xf numFmtId="43" fontId="144" fillId="2" borderId="19" xfId="1" applyFont="1" applyFill="1" applyBorder="1" applyAlignment="1">
      <alignment horizontal="center" wrapText="1"/>
    </xf>
    <xf numFmtId="43" fontId="144" fillId="2" borderId="20" xfId="1" applyFont="1" applyFill="1" applyBorder="1" applyAlignment="1">
      <alignment horizontal="center" wrapText="1"/>
    </xf>
    <xf numFmtId="0" fontId="144" fillId="0" borderId="18" xfId="0" applyFont="1" applyFill="1" applyBorder="1" applyAlignment="1">
      <alignment horizontal="center"/>
    </xf>
    <xf numFmtId="0" fontId="144" fillId="0" borderId="19" xfId="0" applyFont="1" applyFill="1" applyBorder="1" applyAlignment="1">
      <alignment horizontal="center"/>
    </xf>
    <xf numFmtId="0" fontId="144" fillId="0" borderId="20" xfId="0" applyFont="1" applyFill="1" applyBorder="1" applyAlignment="1">
      <alignment horizontal="center"/>
    </xf>
    <xf numFmtId="164" fontId="13" fillId="2" borderId="11" xfId="1" applyNumberFormat="1" applyFont="1" applyFill="1" applyBorder="1" applyAlignment="1">
      <alignment horizontal="left"/>
    </xf>
    <xf numFmtId="164" fontId="13" fillId="2" borderId="15" xfId="1" applyNumberFormat="1" applyFont="1" applyFill="1" applyBorder="1" applyAlignment="1">
      <alignment horizontal="left"/>
    </xf>
    <xf numFmtId="43" fontId="89" fillId="2" borderId="12" xfId="1" applyFont="1" applyFill="1" applyBorder="1" applyAlignment="1">
      <alignment horizontal="left"/>
    </xf>
    <xf numFmtId="43" fontId="89" fillId="2" borderId="6" xfId="1" applyFont="1" applyFill="1" applyBorder="1" applyAlignment="1">
      <alignment horizontal="left"/>
    </xf>
    <xf numFmtId="43" fontId="16" fillId="2" borderId="12" xfId="1" applyFont="1" applyFill="1" applyBorder="1" applyAlignment="1">
      <alignment horizontal="left" wrapText="1"/>
    </xf>
    <xf numFmtId="0" fontId="76" fillId="0" borderId="6" xfId="0" applyFont="1" applyBorder="1" applyAlignment="1">
      <alignment horizontal="left"/>
    </xf>
    <xf numFmtId="43" fontId="16" fillId="2" borderId="6" xfId="1" applyFont="1" applyFill="1" applyBorder="1" applyAlignment="1">
      <alignment horizontal="left" wrapText="1"/>
    </xf>
    <xf numFmtId="43" fontId="16" fillId="2" borderId="6" xfId="1" applyFont="1" applyFill="1" applyBorder="1" applyAlignment="1">
      <alignment horizontal="left"/>
    </xf>
    <xf numFmtId="43" fontId="16" fillId="2" borderId="12" xfId="1" applyFont="1" applyFill="1" applyBorder="1" applyAlignment="1">
      <alignment horizontal="left"/>
    </xf>
    <xf numFmtId="164" fontId="46" fillId="0" borderId="21" xfId="1" applyNumberFormat="1" applyFont="1" applyBorder="1" applyAlignment="1">
      <alignment horizontal="left"/>
    </xf>
    <xf numFmtId="164" fontId="46" fillId="0" borderId="22" xfId="1" applyNumberFormat="1" applyFont="1" applyBorder="1" applyAlignment="1">
      <alignment horizontal="left"/>
    </xf>
    <xf numFmtId="43" fontId="16" fillId="2" borderId="23" xfId="1" applyFont="1" applyFill="1" applyBorder="1" applyAlignment="1">
      <alignment horizontal="left"/>
    </xf>
    <xf numFmtId="43" fontId="16" fillId="2" borderId="24" xfId="1" applyFont="1" applyFill="1" applyBorder="1" applyAlignment="1">
      <alignment horizontal="left"/>
    </xf>
    <xf numFmtId="164" fontId="51" fillId="0" borderId="7" xfId="1" applyNumberFormat="1" applyFont="1" applyBorder="1" applyAlignment="1">
      <alignment horizontal="center"/>
    </xf>
    <xf numFmtId="164" fontId="45" fillId="0" borderId="8" xfId="1" applyNumberFormat="1" applyFont="1" applyBorder="1" applyAlignment="1">
      <alignment horizontal="center"/>
    </xf>
    <xf numFmtId="164" fontId="45" fillId="0" borderId="30" xfId="1" applyNumberFormat="1" applyFont="1" applyBorder="1" applyAlignment="1">
      <alignment horizontal="center"/>
    </xf>
    <xf numFmtId="164" fontId="45" fillId="0" borderId="9" xfId="1" applyNumberFormat="1" applyFont="1" applyBorder="1" applyAlignment="1">
      <alignment horizontal="center"/>
    </xf>
    <xf numFmtId="164" fontId="45" fillId="0" borderId="10" xfId="1" applyNumberFormat="1" applyFont="1" applyBorder="1" applyAlignment="1">
      <alignment horizontal="center"/>
    </xf>
    <xf numFmtId="164" fontId="45" fillId="0" borderId="31" xfId="1" applyNumberFormat="1" applyFont="1" applyBorder="1" applyAlignment="1">
      <alignment horizontal="center"/>
    </xf>
    <xf numFmtId="164" fontId="51" fillId="0" borderId="0" xfId="1" applyNumberFormat="1" applyFont="1" applyAlignment="1">
      <alignment horizontal="center"/>
    </xf>
    <xf numFmtId="164" fontId="13" fillId="2" borderId="11" xfId="1" applyNumberFormat="1" applyFont="1" applyFill="1" applyBorder="1" applyAlignment="1">
      <alignment horizontal="center"/>
    </xf>
    <xf numFmtId="164" fontId="13" fillId="2" borderId="15" xfId="1" applyNumberFormat="1" applyFont="1" applyFill="1" applyBorder="1" applyAlignment="1">
      <alignment horizontal="center"/>
    </xf>
    <xf numFmtId="43" fontId="13" fillId="2" borderId="12" xfId="1" applyFont="1" applyFill="1" applyBorder="1" applyAlignment="1">
      <alignment horizontal="center"/>
    </xf>
    <xf numFmtId="43" fontId="13" fillId="2" borderId="6" xfId="1" applyFont="1" applyFill="1" applyBorder="1" applyAlignment="1">
      <alignment horizontal="center"/>
    </xf>
    <xf numFmtId="43" fontId="13" fillId="2" borderId="12" xfId="1" applyFont="1" applyFill="1" applyBorder="1" applyAlignment="1">
      <alignment horizontal="center" wrapText="1"/>
    </xf>
    <xf numFmtId="0" fontId="19" fillId="0" borderId="6" xfId="0" applyFont="1" applyBorder="1" applyAlignment="1">
      <alignment horizontal="center"/>
    </xf>
    <xf numFmtId="43" fontId="13" fillId="2" borderId="6" xfId="1" applyFont="1" applyFill="1" applyBorder="1" applyAlignment="1">
      <alignment horizontal="center" wrapText="1"/>
    </xf>
    <xf numFmtId="164" fontId="0" fillId="0" borderId="21" xfId="1" applyNumberFormat="1" applyFont="1" applyBorder="1" applyAlignment="1">
      <alignment horizontal="center"/>
    </xf>
    <xf numFmtId="164" fontId="0" fillId="0" borderId="22" xfId="1" applyNumberFormat="1" applyFont="1" applyBorder="1" applyAlignment="1">
      <alignment horizontal="center"/>
    </xf>
    <xf numFmtId="43" fontId="13" fillId="2" borderId="23" xfId="1" applyFont="1" applyFill="1" applyBorder="1" applyAlignment="1">
      <alignment horizontal="center"/>
    </xf>
    <xf numFmtId="43" fontId="13" fillId="2" borderId="24" xfId="1" applyFont="1" applyFill="1" applyBorder="1" applyAlignment="1">
      <alignment horizontal="center"/>
    </xf>
    <xf numFmtId="164" fontId="51" fillId="0" borderId="8" xfId="1" applyNumberFormat="1" applyFont="1" applyBorder="1" applyAlignment="1">
      <alignment horizontal="center"/>
    </xf>
    <xf numFmtId="164" fontId="51" fillId="0" borderId="30" xfId="1" applyNumberFormat="1" applyFont="1" applyBorder="1" applyAlignment="1">
      <alignment horizontal="center"/>
    </xf>
    <xf numFmtId="164" fontId="51" fillId="0" borderId="9" xfId="1" applyNumberFormat="1" applyFont="1" applyBorder="1" applyAlignment="1">
      <alignment horizontal="center"/>
    </xf>
    <xf numFmtId="164" fontId="51" fillId="0" borderId="31" xfId="1" applyNumberFormat="1" applyFont="1" applyBorder="1" applyAlignment="1">
      <alignment horizontal="center"/>
    </xf>
    <xf numFmtId="164" fontId="120" fillId="0" borderId="0" xfId="1" applyNumberFormat="1" applyFont="1" applyAlignment="1">
      <alignment horizontal="center"/>
    </xf>
    <xf numFmtId="43" fontId="136" fillId="2" borderId="5" xfId="1" applyFont="1" applyFill="1" applyBorder="1" applyAlignment="1">
      <alignment horizontal="center" wrapText="1"/>
    </xf>
    <xf numFmtId="0" fontId="136" fillId="0" borderId="5" xfId="0" applyFont="1" applyFill="1" applyBorder="1" applyAlignment="1">
      <alignment horizontal="center"/>
    </xf>
    <xf numFmtId="164" fontId="136" fillId="2" borderId="5" xfId="1" applyNumberFormat="1" applyFont="1" applyFill="1" applyBorder="1" applyAlignment="1">
      <alignment horizontal="center"/>
    </xf>
    <xf numFmtId="43" fontId="136" fillId="2" borderId="5" xfId="1" applyFont="1" applyFill="1" applyBorder="1" applyAlignment="1">
      <alignment horizontal="center"/>
    </xf>
    <xf numFmtId="0" fontId="146" fillId="0" borderId="5" xfId="0" applyFont="1" applyBorder="1"/>
    <xf numFmtId="164" fontId="121" fillId="0" borderId="5" xfId="1" applyNumberFormat="1" applyFont="1" applyBorder="1" applyAlignment="1">
      <alignment horizontal="center"/>
    </xf>
    <xf numFmtId="164" fontId="120" fillId="0" borderId="5" xfId="1" applyNumberFormat="1" applyFont="1" applyBorder="1" applyAlignment="1">
      <alignment horizontal="center"/>
    </xf>
    <xf numFmtId="164" fontId="0" fillId="0" borderId="0" xfId="1" applyNumberFormat="1" applyFont="1" applyBorder="1" applyAlignment="1">
      <alignment horizontal="center"/>
    </xf>
    <xf numFmtId="164" fontId="30" fillId="0" borderId="33" xfId="1" applyNumberFormat="1" applyFont="1" applyBorder="1" applyAlignment="1">
      <alignment horizontal="center"/>
    </xf>
    <xf numFmtId="164" fontId="30" fillId="0" borderId="34" xfId="1" applyNumberFormat="1" applyFont="1" applyBorder="1" applyAlignment="1">
      <alignment horizontal="center"/>
    </xf>
    <xf numFmtId="164" fontId="30" fillId="0" borderId="35" xfId="1" applyNumberFormat="1" applyFont="1" applyBorder="1" applyAlignment="1">
      <alignment horizontal="center"/>
    </xf>
    <xf numFmtId="164" fontId="30" fillId="0" borderId="36" xfId="1" applyNumberFormat="1" applyFont="1" applyBorder="1" applyAlignment="1">
      <alignment horizontal="center"/>
    </xf>
    <xf numFmtId="164" fontId="30" fillId="0" borderId="0" xfId="1" applyNumberFormat="1" applyFont="1" applyBorder="1" applyAlignment="1">
      <alignment horizontal="center"/>
    </xf>
    <xf numFmtId="164" fontId="30" fillId="0" borderId="37" xfId="1" applyNumberFormat="1" applyFont="1" applyBorder="1" applyAlignment="1">
      <alignment horizontal="center"/>
    </xf>
    <xf numFmtId="164" fontId="48" fillId="0" borderId="0" xfId="1" applyNumberFormat="1" applyFont="1" applyBorder="1" applyAlignment="1">
      <alignment horizontal="center"/>
    </xf>
    <xf numFmtId="164" fontId="32" fillId="0" borderId="0" xfId="1" applyNumberFormat="1" applyFont="1" applyBorder="1" applyAlignment="1">
      <alignment horizontal="center"/>
    </xf>
    <xf numFmtId="164" fontId="14" fillId="2" borderId="1" xfId="1" applyNumberFormat="1" applyFont="1" applyFill="1" applyBorder="1" applyAlignment="1">
      <alignment horizontal="center"/>
    </xf>
    <xf numFmtId="164" fontId="14" fillId="2" borderId="3" xfId="1" applyNumberFormat="1" applyFont="1" applyFill="1" applyBorder="1" applyAlignment="1">
      <alignment horizontal="center"/>
    </xf>
    <xf numFmtId="43" fontId="13" fillId="2" borderId="2" xfId="1" applyFont="1" applyFill="1" applyBorder="1" applyAlignment="1">
      <alignment horizontal="center"/>
    </xf>
    <xf numFmtId="43" fontId="13" fillId="2" borderId="4" xfId="1" applyFont="1" applyFill="1" applyBorder="1" applyAlignment="1">
      <alignment horizontal="center"/>
    </xf>
    <xf numFmtId="43" fontId="13" fillId="2" borderId="2" xfId="1" applyFont="1" applyFill="1" applyBorder="1" applyAlignment="1">
      <alignment horizontal="center" wrapText="1"/>
    </xf>
    <xf numFmtId="0" fontId="19" fillId="0" borderId="4" xfId="0" applyFont="1" applyBorder="1"/>
    <xf numFmtId="43" fontId="30" fillId="0" borderId="2" xfId="1" applyFont="1" applyBorder="1" applyAlignment="1">
      <alignment horizontal="center"/>
    </xf>
    <xf numFmtId="43" fontId="30" fillId="0" borderId="4" xfId="1" applyFont="1" applyBorder="1" applyAlignment="1">
      <alignment horizontal="center"/>
    </xf>
    <xf numFmtId="164" fontId="119" fillId="0" borderId="10" xfId="1" applyNumberFormat="1" applyFont="1" applyBorder="1" applyAlignment="1">
      <alignment horizontal="center"/>
    </xf>
    <xf numFmtId="43" fontId="150" fillId="2" borderId="13" xfId="1" applyFont="1" applyFill="1" applyBorder="1" applyAlignment="1">
      <alignment horizontal="center" wrapText="1"/>
    </xf>
    <xf numFmtId="43" fontId="150" fillId="2" borderId="14" xfId="1" applyFont="1" applyFill="1" applyBorder="1" applyAlignment="1">
      <alignment horizontal="center" wrapText="1"/>
    </xf>
    <xf numFmtId="43" fontId="150" fillId="2" borderId="29" xfId="1" applyFont="1" applyFill="1" applyBorder="1" applyAlignment="1">
      <alignment horizontal="center" wrapText="1"/>
    </xf>
    <xf numFmtId="0" fontId="150" fillId="0" borderId="47" xfId="0" applyFont="1" applyFill="1" applyBorder="1" applyAlignment="1">
      <alignment horizontal="center"/>
    </xf>
    <xf numFmtId="0" fontId="150" fillId="0" borderId="48" xfId="0" applyFont="1" applyFill="1" applyBorder="1" applyAlignment="1">
      <alignment horizontal="center"/>
    </xf>
    <xf numFmtId="0" fontId="150" fillId="0" borderId="49" xfId="0" applyFont="1" applyFill="1" applyBorder="1" applyAlignment="1">
      <alignment horizontal="center"/>
    </xf>
    <xf numFmtId="164" fontId="128" fillId="2" borderId="11" xfId="1" applyNumberFormat="1" applyFont="1" applyFill="1" applyBorder="1" applyAlignment="1">
      <alignment horizontal="left"/>
    </xf>
    <xf numFmtId="0" fontId="141" fillId="0" borderId="15" xfId="0" applyFont="1" applyBorder="1"/>
    <xf numFmtId="43" fontId="128" fillId="2" borderId="12" xfId="1" applyFont="1" applyFill="1" applyBorder="1" applyAlignment="1">
      <alignment horizontal="left"/>
    </xf>
    <xf numFmtId="0" fontId="141" fillId="0" borderId="6" xfId="0" applyFont="1" applyBorder="1"/>
    <xf numFmtId="43" fontId="128" fillId="2" borderId="12" xfId="1" applyFont="1" applyFill="1" applyBorder="1" applyAlignment="1">
      <alignment horizontal="left" wrapText="1"/>
    </xf>
    <xf numFmtId="43" fontId="128" fillId="2" borderId="12" xfId="1" applyFont="1" applyFill="1" applyBorder="1" applyAlignment="1">
      <alignment horizontal="center" wrapText="1"/>
    </xf>
    <xf numFmtId="43" fontId="128" fillId="2" borderId="6" xfId="1" applyFont="1" applyFill="1" applyBorder="1" applyAlignment="1">
      <alignment horizontal="center" wrapText="1"/>
    </xf>
    <xf numFmtId="164" fontId="73" fillId="0" borderId="21" xfId="1" applyNumberFormat="1" applyFont="1" applyBorder="1" applyAlignment="1">
      <alignment horizontal="left"/>
    </xf>
    <xf numFmtId="0" fontId="73" fillId="0" borderId="22" xfId="0" applyFont="1" applyBorder="1"/>
    <xf numFmtId="164" fontId="151" fillId="0" borderId="7" xfId="1" applyNumberFormat="1" applyFont="1" applyBorder="1" applyAlignment="1">
      <alignment horizontal="center"/>
    </xf>
    <xf numFmtId="164" fontId="151" fillId="0" borderId="8" xfId="1" applyNumberFormat="1" applyFont="1" applyBorder="1" applyAlignment="1">
      <alignment horizontal="center"/>
    </xf>
    <xf numFmtId="164" fontId="151" fillId="0" borderId="30" xfId="1" applyNumberFormat="1" applyFont="1" applyBorder="1" applyAlignment="1">
      <alignment horizontal="center"/>
    </xf>
    <xf numFmtId="164" fontId="151" fillId="0" borderId="9" xfId="1" applyNumberFormat="1" applyFont="1" applyBorder="1" applyAlignment="1">
      <alignment horizontal="center"/>
    </xf>
    <xf numFmtId="164" fontId="151" fillId="0" borderId="10" xfId="1" applyNumberFormat="1" applyFont="1" applyBorder="1" applyAlignment="1">
      <alignment horizontal="center"/>
    </xf>
    <xf numFmtId="164" fontId="151" fillId="0" borderId="31" xfId="1" applyNumberFormat="1" applyFont="1" applyBorder="1" applyAlignment="1">
      <alignment horizontal="center"/>
    </xf>
    <xf numFmtId="0" fontId="20" fillId="0" borderId="0" xfId="0" applyFont="1" applyBorder="1" applyAlignment="1">
      <alignment horizontal="center"/>
    </xf>
    <xf numFmtId="0" fontId="59" fillId="0" borderId="0" xfId="0" applyFont="1" applyAlignment="1">
      <alignment horizontal="center"/>
    </xf>
    <xf numFmtId="0" fontId="76" fillId="0" borderId="0" xfId="0" applyFont="1" applyAlignment="1">
      <alignment horizontal="center"/>
    </xf>
    <xf numFmtId="17" fontId="30" fillId="0" borderId="0" xfId="0" applyNumberFormat="1" applyFont="1" applyAlignment="1">
      <alignment horizontal="center"/>
    </xf>
    <xf numFmtId="0" fontId="30" fillId="0" borderId="0" xfId="0" applyFont="1" applyAlignment="1">
      <alignment horizontal="center"/>
    </xf>
    <xf numFmtId="0" fontId="0" fillId="0" borderId="64" xfId="0" applyBorder="1" applyAlignment="1">
      <alignment horizontal="center"/>
    </xf>
  </cellXfs>
  <cellStyles count="4">
    <cellStyle name="Accent5" xfId="2" builtinId="45"/>
    <cellStyle name="Comma" xfId="1" builtinId="3"/>
    <cellStyle name="Comma 2" xfId="3" xr:uid="{00000000-0005-0000-0000-000002000000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828675</xdr:colOff>
      <xdr:row>171</xdr:row>
      <xdr:rowOff>152401</xdr:rowOff>
    </xdr:from>
    <xdr:to>
      <xdr:col>3</xdr:col>
      <xdr:colOff>247650</xdr:colOff>
      <xdr:row>171</xdr:row>
      <xdr:rowOff>161925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CxnSpPr/>
      </xdr:nvCxnSpPr>
      <xdr:spPr>
        <a:xfrm>
          <a:off x="3038475" y="50272951"/>
          <a:ext cx="942975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685800</xdr:colOff>
      <xdr:row>170</xdr:row>
      <xdr:rowOff>9525</xdr:rowOff>
    </xdr:from>
    <xdr:to>
      <xdr:col>1</xdr:col>
      <xdr:colOff>1590675</xdr:colOff>
      <xdr:row>170</xdr:row>
      <xdr:rowOff>9525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CxnSpPr/>
      </xdr:nvCxnSpPr>
      <xdr:spPr>
        <a:xfrm>
          <a:off x="1076325" y="49930050"/>
          <a:ext cx="90487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942975</xdr:colOff>
      <xdr:row>14</xdr:row>
      <xdr:rowOff>133350</xdr:rowOff>
    </xdr:from>
    <xdr:to>
      <xdr:col>1</xdr:col>
      <xdr:colOff>1876425</xdr:colOff>
      <xdr:row>14</xdr:row>
      <xdr:rowOff>142875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CxnSpPr/>
      </xdr:nvCxnSpPr>
      <xdr:spPr>
        <a:xfrm flipV="1">
          <a:off x="1838325" y="4257675"/>
          <a:ext cx="933450" cy="9525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819150</xdr:colOff>
      <xdr:row>15</xdr:row>
      <xdr:rowOff>142876</xdr:rowOff>
    </xdr:from>
    <xdr:to>
      <xdr:col>1</xdr:col>
      <xdr:colOff>1838325</xdr:colOff>
      <xdr:row>15</xdr:row>
      <xdr:rowOff>152400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CxnSpPr/>
      </xdr:nvCxnSpPr>
      <xdr:spPr>
        <a:xfrm flipV="1">
          <a:off x="1714500" y="4457701"/>
          <a:ext cx="1019175" cy="9524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80"/>
  <sheetViews>
    <sheetView view="pageBreakPreview" topLeftCell="A48" zoomScale="60" zoomScaleNormal="70" workbookViewId="0">
      <selection activeCell="G5" sqref="G1:G1048576"/>
    </sheetView>
  </sheetViews>
  <sheetFormatPr defaultColWidth="9.1796875" defaultRowHeight="14.5"/>
  <cols>
    <col min="1" max="1" width="7.453125" style="4" customWidth="1"/>
    <col min="2" max="2" width="36.1796875" style="5" customWidth="1"/>
    <col min="3" max="3" width="9.1796875" style="5" customWidth="1"/>
    <col min="4" max="4" width="16.7265625" style="5" customWidth="1"/>
    <col min="5" max="5" width="12.7265625" style="5" customWidth="1"/>
    <col min="6" max="6" width="17.90625" style="5" customWidth="1"/>
    <col min="7" max="7" width="25.54296875" style="5" customWidth="1"/>
    <col min="8" max="8" width="12.7265625" style="156" customWidth="1"/>
    <col min="9" max="9" width="11" style="5" customWidth="1"/>
    <col min="10" max="10" width="12.26953125" style="5" customWidth="1"/>
    <col min="11" max="11" width="8.26953125" style="5" customWidth="1"/>
    <col min="12" max="12" width="8.81640625" style="5" customWidth="1"/>
    <col min="13" max="13" width="11.1796875" style="5" customWidth="1"/>
    <col min="14" max="14" width="19.7265625" style="5" customWidth="1"/>
    <col min="15" max="15" width="19.453125" style="5" customWidth="1"/>
    <col min="16" max="16" width="19.1796875" style="5" customWidth="1"/>
    <col min="17" max="17" width="12.81640625" style="5" customWidth="1"/>
    <col min="18" max="18" width="10.81640625" style="5" customWidth="1"/>
    <col min="19" max="19" width="13.81640625" style="5" customWidth="1"/>
    <col min="20" max="20" width="13.54296875" style="5" customWidth="1"/>
    <col min="21" max="21" width="15.453125" style="5" customWidth="1"/>
    <col min="22" max="22" width="15" style="5" customWidth="1"/>
    <col min="23" max="23" width="3.81640625" style="5" hidden="1" customWidth="1"/>
    <col min="24" max="24" width="17.7265625" style="5" customWidth="1"/>
    <col min="25" max="25" width="17.26953125" style="5" customWidth="1"/>
    <col min="26" max="26" width="6.81640625" style="5" hidden="1" customWidth="1"/>
    <col min="27" max="27" width="12.26953125" style="5" customWidth="1"/>
    <col min="28" max="28" width="11.54296875" style="5" customWidth="1"/>
    <col min="29" max="29" width="9.54296875" style="5" customWidth="1"/>
    <col min="30" max="31" width="10.54296875" style="5" customWidth="1"/>
    <col min="32" max="16384" width="9.1796875" style="5"/>
  </cols>
  <sheetData>
    <row r="1" spans="1:63" hidden="1">
      <c r="A1" s="374"/>
      <c r="B1" s="375"/>
      <c r="C1" s="375"/>
      <c r="D1" s="375"/>
      <c r="E1" s="375"/>
      <c r="F1" s="375"/>
      <c r="G1" s="375"/>
      <c r="H1" s="376"/>
      <c r="I1" s="375"/>
      <c r="J1" s="375"/>
      <c r="K1" s="375"/>
      <c r="L1" s="375"/>
      <c r="M1" s="375"/>
      <c r="N1" s="375"/>
      <c r="O1" s="375"/>
      <c r="P1" s="375"/>
      <c r="Q1" s="375"/>
      <c r="R1" s="375"/>
      <c r="S1" s="375"/>
      <c r="T1" s="375"/>
      <c r="U1" s="375"/>
      <c r="V1" s="375"/>
      <c r="W1" s="375"/>
      <c r="X1" s="375"/>
      <c r="Y1" s="375"/>
      <c r="Z1" s="375"/>
    </row>
    <row r="2" spans="1:63" ht="39.75" customHeight="1">
      <c r="A2" s="691" t="s">
        <v>481</v>
      </c>
      <c r="B2" s="691"/>
      <c r="C2" s="691"/>
      <c r="D2" s="691"/>
      <c r="E2" s="691"/>
      <c r="F2" s="691"/>
      <c r="G2" s="691"/>
      <c r="H2" s="691"/>
      <c r="I2" s="691"/>
      <c r="J2" s="691"/>
      <c r="K2" s="691"/>
      <c r="L2" s="691"/>
      <c r="M2" s="691"/>
      <c r="N2" s="691"/>
      <c r="O2" s="691"/>
      <c r="P2" s="691"/>
      <c r="Q2" s="691"/>
      <c r="R2" s="691"/>
      <c r="S2" s="691"/>
      <c r="T2" s="691"/>
      <c r="U2" s="691"/>
      <c r="V2" s="691"/>
      <c r="W2" s="691"/>
      <c r="X2" s="691"/>
      <c r="Y2" s="691"/>
      <c r="Z2" s="691"/>
    </row>
    <row r="3" spans="1:63" ht="39.75" customHeight="1">
      <c r="A3" s="702" t="s">
        <v>484</v>
      </c>
      <c r="B3" s="702"/>
      <c r="C3" s="702"/>
      <c r="D3" s="702"/>
      <c r="E3" s="702"/>
      <c r="F3" s="702"/>
      <c r="G3" s="702"/>
      <c r="H3" s="702"/>
      <c r="I3" s="702"/>
      <c r="J3" s="702"/>
      <c r="K3" s="702"/>
      <c r="L3" s="702"/>
      <c r="M3" s="702"/>
      <c r="N3" s="702"/>
      <c r="O3" s="702"/>
      <c r="P3" s="702"/>
      <c r="Q3" s="702"/>
      <c r="R3" s="702"/>
      <c r="S3" s="702"/>
      <c r="T3" s="702"/>
      <c r="U3" s="702"/>
      <c r="V3" s="702"/>
      <c r="W3" s="702"/>
      <c r="X3" s="702"/>
      <c r="Y3" s="702"/>
      <c r="Z3" s="702"/>
    </row>
    <row r="4" spans="1:63" ht="39.75" customHeight="1">
      <c r="A4" s="702"/>
      <c r="B4" s="702"/>
      <c r="C4" s="702"/>
      <c r="D4" s="702"/>
      <c r="E4" s="702"/>
      <c r="F4" s="702"/>
      <c r="G4" s="702"/>
      <c r="H4" s="702"/>
      <c r="I4" s="702"/>
      <c r="J4" s="702"/>
      <c r="K4" s="702"/>
      <c r="L4" s="702"/>
      <c r="M4" s="702"/>
      <c r="N4" s="702"/>
      <c r="O4" s="702"/>
      <c r="P4" s="702"/>
      <c r="Q4" s="702"/>
      <c r="R4" s="702"/>
      <c r="S4" s="702"/>
      <c r="T4" s="702"/>
      <c r="U4" s="702"/>
      <c r="V4" s="702"/>
      <c r="W4" s="702"/>
      <c r="X4" s="702"/>
      <c r="Y4" s="702"/>
      <c r="Z4" s="702"/>
    </row>
    <row r="5" spans="1:63" ht="39.75" customHeight="1">
      <c r="A5" s="694"/>
      <c r="B5" s="696" t="s">
        <v>2</v>
      </c>
      <c r="C5" s="698" t="s">
        <v>10</v>
      </c>
      <c r="D5" s="333"/>
      <c r="E5" s="333"/>
      <c r="F5" s="333"/>
      <c r="G5" s="333"/>
      <c r="H5" s="333"/>
      <c r="I5" s="703" t="s">
        <v>12</v>
      </c>
      <c r="J5" s="703"/>
      <c r="K5" s="703"/>
      <c r="L5" s="703"/>
      <c r="M5" s="703"/>
      <c r="N5" s="699" t="s">
        <v>13</v>
      </c>
      <c r="O5" s="699" t="s">
        <v>14</v>
      </c>
      <c r="P5" s="692" t="s">
        <v>15</v>
      </c>
      <c r="Q5" s="692"/>
      <c r="R5" s="693"/>
      <c r="S5" s="693"/>
      <c r="T5" s="693"/>
      <c r="U5" s="693"/>
      <c r="V5" s="693"/>
      <c r="W5" s="259"/>
      <c r="X5" s="698" t="s">
        <v>16</v>
      </c>
      <c r="Y5" s="701" t="s">
        <v>3</v>
      </c>
      <c r="Z5" s="701" t="s">
        <v>0</v>
      </c>
      <c r="AB5" s="5" t="s">
        <v>8</v>
      </c>
    </row>
    <row r="6" spans="1:63" s="141" customFormat="1" ht="56.25" customHeight="1">
      <c r="A6" s="695"/>
      <c r="B6" s="697"/>
      <c r="C6" s="695"/>
      <c r="D6" s="377" t="s">
        <v>430</v>
      </c>
      <c r="E6" s="358" t="s">
        <v>11</v>
      </c>
      <c r="F6" s="358" t="s">
        <v>432</v>
      </c>
      <c r="G6" s="358" t="s">
        <v>433</v>
      </c>
      <c r="H6" s="377" t="s">
        <v>429</v>
      </c>
      <c r="I6" s="377" t="s">
        <v>18</v>
      </c>
      <c r="J6" s="377" t="s">
        <v>19</v>
      </c>
      <c r="K6" s="377" t="s">
        <v>364</v>
      </c>
      <c r="L6" s="377" t="s">
        <v>20</v>
      </c>
      <c r="M6" s="377" t="s">
        <v>21</v>
      </c>
      <c r="N6" s="700"/>
      <c r="O6" s="700"/>
      <c r="P6" s="378" t="s">
        <v>22</v>
      </c>
      <c r="Q6" s="378" t="s">
        <v>23</v>
      </c>
      <c r="R6" s="378" t="s">
        <v>24</v>
      </c>
      <c r="S6" s="378" t="s">
        <v>25</v>
      </c>
      <c r="T6" s="378" t="s">
        <v>26</v>
      </c>
      <c r="U6" s="377" t="s">
        <v>27</v>
      </c>
      <c r="V6" s="377" t="s">
        <v>28</v>
      </c>
      <c r="W6" s="359" t="s">
        <v>9</v>
      </c>
      <c r="X6" s="695"/>
      <c r="Y6" s="695"/>
      <c r="Z6" s="695"/>
      <c r="AB6" s="141" t="s">
        <v>8</v>
      </c>
    </row>
    <row r="7" spans="1:63" s="79" customFormat="1" ht="39.75" customHeight="1">
      <c r="A7" s="505">
        <v>1</v>
      </c>
      <c r="B7" s="356" t="s">
        <v>29</v>
      </c>
      <c r="C7" s="504" t="s">
        <v>30</v>
      </c>
      <c r="D7" s="277">
        <v>12910.65</v>
      </c>
      <c r="E7" s="277">
        <v>30</v>
      </c>
      <c r="F7" s="277">
        <v>0</v>
      </c>
      <c r="G7" s="277">
        <f>E7-F7</f>
        <v>30</v>
      </c>
      <c r="H7" s="277">
        <f>D7/E7*G7</f>
        <v>12910.65</v>
      </c>
      <c r="I7" s="506"/>
      <c r="J7" s="506">
        <v>2100</v>
      </c>
      <c r="K7" s="506"/>
      <c r="L7" s="506"/>
      <c r="M7" s="506">
        <v>1000</v>
      </c>
      <c r="N7" s="504">
        <f>H7+I7+J7+K7+M7</f>
        <v>16010.65</v>
      </c>
      <c r="O7" s="504">
        <f>H7+J7</f>
        <v>15010.65</v>
      </c>
      <c r="P7" s="504">
        <f>IF(O7&lt;=2000,0,IF(O7&lt;=4000,O7*0.15-300,IF(O7&lt;=7000,O7*0.2-500,IF(O7&lt;=10000,O7*0.25-850,IF(O7&lt;=14000,O7*0.3-1350,IF(O7&gt;14000,O7*0.35-2050))))))</f>
        <v>3203.7275</v>
      </c>
      <c r="Q7" s="435"/>
      <c r="R7" s="505">
        <v>100</v>
      </c>
      <c r="S7" s="435"/>
      <c r="T7" s="435"/>
      <c r="U7" s="504">
        <f>H7*0.07</f>
        <v>903.74550000000011</v>
      </c>
      <c r="V7" s="504">
        <f>H7*0.11</f>
        <v>1420.1714999999999</v>
      </c>
      <c r="W7" s="504"/>
      <c r="X7" s="504">
        <f>P7+Q7+R7+S7+T7+U7</f>
        <v>4207.473</v>
      </c>
      <c r="Y7" s="507">
        <f>N7-X7</f>
        <v>11803.177</v>
      </c>
      <c r="Z7" s="263"/>
      <c r="AB7" s="80">
        <v>89</v>
      </c>
      <c r="AC7" s="79" t="e">
        <f>D7-#REF!</f>
        <v>#REF!</v>
      </c>
      <c r="AD7" s="79" t="e">
        <f>AC7*AB7/100</f>
        <v>#REF!</v>
      </c>
      <c r="AE7" s="79" t="e">
        <f>AC7-AD7</f>
        <v>#REF!</v>
      </c>
    </row>
    <row r="8" spans="1:63" s="180" customFormat="1" ht="39.75" customHeight="1">
      <c r="A8" s="505">
        <v>2</v>
      </c>
      <c r="B8" s="356" t="s">
        <v>31</v>
      </c>
      <c r="C8" s="504" t="s">
        <v>30</v>
      </c>
      <c r="D8" s="278">
        <v>13182.13</v>
      </c>
      <c r="E8" s="277">
        <v>30</v>
      </c>
      <c r="F8" s="277">
        <v>0</v>
      </c>
      <c r="G8" s="277">
        <f>E8-F8</f>
        <v>30</v>
      </c>
      <c r="H8" s="277">
        <f t="shared" ref="H8:H57" si="0">D8/E8*G8</f>
        <v>13182.13</v>
      </c>
      <c r="I8" s="506"/>
      <c r="J8" s="506">
        <v>2200</v>
      </c>
      <c r="K8" s="508"/>
      <c r="L8" s="506"/>
      <c r="M8" s="506">
        <v>1000</v>
      </c>
      <c r="N8" s="504">
        <f t="shared" ref="N8:N56" si="1">H8+I8+J8+K8+M8</f>
        <v>16382.13</v>
      </c>
      <c r="O8" s="504">
        <f t="shared" ref="O8:O57" si="2">H8+J8</f>
        <v>15382.13</v>
      </c>
      <c r="P8" s="504">
        <f t="shared" ref="P8:P58" si="3">IF(O8&lt;=2000,0,IF(O8&lt;=4000,O8*0.15-300,IF(O8&lt;=7000,O8*0.2-500,IF(O8&lt;=10000,O8*0.25-850,IF(O8&lt;=14000,O8*0.3-1350,IF(O8&gt;14000,O8*0.35-2050))))))</f>
        <v>3333.7454999999991</v>
      </c>
      <c r="Q8" s="435"/>
      <c r="R8" s="505">
        <v>100</v>
      </c>
      <c r="S8" s="435"/>
      <c r="T8" s="514">
        <v>4070</v>
      </c>
      <c r="U8" s="504">
        <f t="shared" ref="U8:U34" si="4">H8*0.07</f>
        <v>922.7491</v>
      </c>
      <c r="V8" s="504">
        <f t="shared" ref="V8:V12" si="5">H8*0.11</f>
        <v>1450.0343</v>
      </c>
      <c r="W8" s="504"/>
      <c r="X8" s="504">
        <f>P8+Q8+R8+S8+T8+U8</f>
        <v>8426.4945999999982</v>
      </c>
      <c r="Y8" s="507">
        <f t="shared" ref="Y8:Y43" si="6">N8-X8</f>
        <v>7955.635400000001</v>
      </c>
      <c r="Z8" s="263"/>
      <c r="AB8" s="181">
        <v>79</v>
      </c>
      <c r="AC8" s="180" t="e">
        <f>D8-#REF!</f>
        <v>#REF!</v>
      </c>
      <c r="AD8" s="180" t="e">
        <f t="shared" ref="AD8:AD21" si="7">AC8*AB8/100</f>
        <v>#REF!</v>
      </c>
      <c r="AE8" s="180" t="e">
        <f t="shared" ref="AE8:AE21" si="8">AC8-AD8</f>
        <v>#REF!</v>
      </c>
    </row>
    <row r="9" spans="1:63" s="180" customFormat="1" ht="39.75" customHeight="1">
      <c r="A9" s="505">
        <v>3</v>
      </c>
      <c r="B9" s="356" t="s">
        <v>32</v>
      </c>
      <c r="C9" s="504" t="s">
        <v>30</v>
      </c>
      <c r="D9" s="278">
        <v>15274.86</v>
      </c>
      <c r="E9" s="277">
        <v>30</v>
      </c>
      <c r="F9" s="277">
        <v>0</v>
      </c>
      <c r="G9" s="277">
        <f t="shared" ref="G9:G57" si="9">E9-F9</f>
        <v>30</v>
      </c>
      <c r="H9" s="277">
        <f t="shared" si="0"/>
        <v>15274.86</v>
      </c>
      <c r="I9" s="277"/>
      <c r="J9" s="506">
        <v>2200</v>
      </c>
      <c r="K9" s="510"/>
      <c r="L9" s="506"/>
      <c r="M9" s="506"/>
      <c r="N9" s="504">
        <f t="shared" si="1"/>
        <v>17474.86</v>
      </c>
      <c r="O9" s="504">
        <f t="shared" si="2"/>
        <v>17474.86</v>
      </c>
      <c r="P9" s="504">
        <f t="shared" si="3"/>
        <v>4066.201</v>
      </c>
      <c r="Q9" s="435"/>
      <c r="R9" s="505">
        <v>100</v>
      </c>
      <c r="S9" s="435"/>
      <c r="T9" s="514">
        <v>1000</v>
      </c>
      <c r="U9" s="504">
        <f t="shared" si="4"/>
        <v>1069.2402000000002</v>
      </c>
      <c r="V9" s="504">
        <f t="shared" si="5"/>
        <v>1680.2346</v>
      </c>
      <c r="W9" s="504"/>
      <c r="X9" s="504">
        <f>P9+Q9+R9+S9+T9+U9</f>
        <v>6235.4412000000002</v>
      </c>
      <c r="Y9" s="507">
        <f t="shared" si="6"/>
        <v>11239.418799999999</v>
      </c>
      <c r="Z9" s="263"/>
      <c r="AB9" s="181">
        <v>51</v>
      </c>
      <c r="AC9" s="180" t="e">
        <f>D9-#REF!</f>
        <v>#REF!</v>
      </c>
      <c r="AD9" s="180" t="e">
        <f t="shared" si="7"/>
        <v>#REF!</v>
      </c>
      <c r="AE9" s="180" t="e">
        <f t="shared" si="8"/>
        <v>#REF!</v>
      </c>
    </row>
    <row r="10" spans="1:63" s="78" customFormat="1" ht="39.75" customHeight="1">
      <c r="A10" s="505">
        <v>4</v>
      </c>
      <c r="B10" s="356" t="s">
        <v>33</v>
      </c>
      <c r="C10" s="504" t="s">
        <v>30</v>
      </c>
      <c r="D10" s="278">
        <v>13477</v>
      </c>
      <c r="E10" s="277">
        <v>30</v>
      </c>
      <c r="F10" s="277">
        <v>0</v>
      </c>
      <c r="G10" s="277">
        <f t="shared" si="9"/>
        <v>30</v>
      </c>
      <c r="H10" s="277">
        <f t="shared" si="0"/>
        <v>13477</v>
      </c>
      <c r="I10" s="277"/>
      <c r="J10" s="506">
        <v>1600</v>
      </c>
      <c r="K10" s="510"/>
      <c r="L10" s="506"/>
      <c r="M10" s="506"/>
      <c r="N10" s="504">
        <f t="shared" si="1"/>
        <v>15077</v>
      </c>
      <c r="O10" s="504">
        <f>H10</f>
        <v>13477</v>
      </c>
      <c r="P10" s="504">
        <f t="shared" si="3"/>
        <v>2693.1</v>
      </c>
      <c r="Q10" s="435"/>
      <c r="R10" s="505">
        <v>100</v>
      </c>
      <c r="S10" s="435"/>
      <c r="T10" s="505"/>
      <c r="U10" s="504">
        <f t="shared" si="4"/>
        <v>943.3900000000001</v>
      </c>
      <c r="V10" s="504">
        <f t="shared" si="5"/>
        <v>1482.47</v>
      </c>
      <c r="W10" s="504"/>
      <c r="X10" s="504">
        <f>P10+Q10+R10+S10+T10+U10</f>
        <v>3736.49</v>
      </c>
      <c r="Y10" s="507">
        <f t="shared" si="6"/>
        <v>11340.51</v>
      </c>
      <c r="Z10" s="260"/>
      <c r="AA10" s="38"/>
      <c r="AB10" s="39">
        <v>84</v>
      </c>
      <c r="AC10" s="38" t="e">
        <f>D10-#REF!</f>
        <v>#REF!</v>
      </c>
      <c r="AD10" s="38" t="e">
        <f t="shared" si="7"/>
        <v>#REF!</v>
      </c>
      <c r="AE10" s="38" t="e">
        <f t="shared" si="8"/>
        <v>#REF!</v>
      </c>
      <c r="AF10" s="38"/>
      <c r="AG10" s="38"/>
      <c r="AH10" s="38"/>
      <c r="AI10" s="38"/>
      <c r="AJ10" s="38"/>
      <c r="AK10" s="38"/>
      <c r="AL10" s="38"/>
      <c r="AM10" s="38"/>
      <c r="AN10" s="38"/>
      <c r="AO10" s="38"/>
      <c r="AP10" s="38"/>
      <c r="AQ10" s="38"/>
      <c r="AR10" s="38"/>
      <c r="AS10" s="38"/>
      <c r="AT10" s="38"/>
      <c r="AU10" s="38"/>
      <c r="AV10" s="38"/>
      <c r="AW10" s="38"/>
      <c r="AX10" s="38"/>
      <c r="AY10" s="38"/>
      <c r="AZ10" s="38"/>
      <c r="BA10" s="38"/>
      <c r="BB10" s="38"/>
      <c r="BC10" s="38"/>
      <c r="BD10" s="38"/>
      <c r="BE10" s="38"/>
      <c r="BF10" s="38"/>
      <c r="BG10" s="38"/>
      <c r="BH10" s="38"/>
      <c r="BI10" s="38"/>
      <c r="BJ10" s="38"/>
      <c r="BK10" s="38"/>
    </row>
    <row r="11" spans="1:63" s="38" customFormat="1" ht="39.75" customHeight="1">
      <c r="A11" s="505">
        <v>5</v>
      </c>
      <c r="B11" s="356" t="s">
        <v>35</v>
      </c>
      <c r="C11" s="504" t="s">
        <v>30</v>
      </c>
      <c r="D11" s="278">
        <v>13489.3</v>
      </c>
      <c r="E11" s="277">
        <v>30</v>
      </c>
      <c r="F11" s="277">
        <v>0</v>
      </c>
      <c r="G11" s="277">
        <f t="shared" si="9"/>
        <v>30</v>
      </c>
      <c r="H11" s="277">
        <f t="shared" si="0"/>
        <v>13489.3</v>
      </c>
      <c r="I11" s="277"/>
      <c r="J11" s="506">
        <v>2400</v>
      </c>
      <c r="K11" s="510"/>
      <c r="L11" s="506"/>
      <c r="M11" s="506"/>
      <c r="N11" s="504">
        <f t="shared" si="1"/>
        <v>15889.3</v>
      </c>
      <c r="O11" s="504">
        <f t="shared" si="2"/>
        <v>15889.3</v>
      </c>
      <c r="P11" s="504">
        <f t="shared" si="3"/>
        <v>3511.2549999999992</v>
      </c>
      <c r="Q11" s="435"/>
      <c r="R11" s="505">
        <v>100</v>
      </c>
      <c r="S11" s="435"/>
      <c r="T11" s="505"/>
      <c r="U11" s="504">
        <f t="shared" si="4"/>
        <v>944.25100000000009</v>
      </c>
      <c r="V11" s="504">
        <f t="shared" si="5"/>
        <v>1483.8229999999999</v>
      </c>
      <c r="W11" s="504"/>
      <c r="X11" s="504">
        <f t="shared" ref="X11:X57" si="10">P11+Q11+R11+S11+T11+U11</f>
        <v>4555.5059999999994</v>
      </c>
      <c r="Y11" s="507">
        <f t="shared" si="6"/>
        <v>11333.794</v>
      </c>
      <c r="Z11" s="260"/>
      <c r="AB11" s="39">
        <v>78</v>
      </c>
      <c r="AC11" s="38" t="e">
        <f>D11-#REF!</f>
        <v>#REF!</v>
      </c>
      <c r="AD11" s="38" t="e">
        <f t="shared" si="7"/>
        <v>#REF!</v>
      </c>
      <c r="AE11" s="38" t="e">
        <f t="shared" si="8"/>
        <v>#REF!</v>
      </c>
    </row>
    <row r="12" spans="1:63" s="78" customFormat="1" ht="39.75" customHeight="1">
      <c r="A12" s="505">
        <v>6</v>
      </c>
      <c r="B12" s="356" t="s">
        <v>36</v>
      </c>
      <c r="C12" s="504" t="s">
        <v>30</v>
      </c>
      <c r="D12" s="278">
        <v>17210</v>
      </c>
      <c r="E12" s="277">
        <v>30</v>
      </c>
      <c r="F12" s="277">
        <v>0</v>
      </c>
      <c r="G12" s="277">
        <f t="shared" si="9"/>
        <v>30</v>
      </c>
      <c r="H12" s="277">
        <f t="shared" si="0"/>
        <v>17210</v>
      </c>
      <c r="I12" s="277"/>
      <c r="J12" s="506">
        <v>2200</v>
      </c>
      <c r="K12" s="510"/>
      <c r="L12" s="506"/>
      <c r="M12" s="506">
        <v>1000</v>
      </c>
      <c r="N12" s="504">
        <f t="shared" si="1"/>
        <v>20410</v>
      </c>
      <c r="O12" s="504">
        <f t="shared" si="2"/>
        <v>19410</v>
      </c>
      <c r="P12" s="504">
        <f t="shared" si="3"/>
        <v>4743.5</v>
      </c>
      <c r="Q12" s="435"/>
      <c r="R12" s="505">
        <v>100</v>
      </c>
      <c r="S12" s="505"/>
      <c r="T12" s="505"/>
      <c r="U12" s="504">
        <f t="shared" si="4"/>
        <v>1204.7</v>
      </c>
      <c r="V12" s="504">
        <f t="shared" si="5"/>
        <v>1893.1</v>
      </c>
      <c r="W12" s="504"/>
      <c r="X12" s="504">
        <f t="shared" si="10"/>
        <v>6048.2</v>
      </c>
      <c r="Y12" s="507">
        <f t="shared" si="6"/>
        <v>14361.8</v>
      </c>
      <c r="Z12" s="260"/>
      <c r="AA12" s="38"/>
      <c r="AB12" s="39">
        <v>80</v>
      </c>
      <c r="AC12" s="38" t="e">
        <f>D12-#REF!</f>
        <v>#REF!</v>
      </c>
      <c r="AD12" s="38" t="e">
        <f t="shared" si="7"/>
        <v>#REF!</v>
      </c>
      <c r="AE12" s="38" t="e">
        <f t="shared" si="8"/>
        <v>#REF!</v>
      </c>
      <c r="AF12" s="38"/>
      <c r="AG12" s="38"/>
      <c r="AH12" s="38"/>
      <c r="AI12" s="38"/>
      <c r="AJ12" s="38"/>
      <c r="AK12" s="38"/>
      <c r="AL12" s="38"/>
      <c r="AM12" s="38"/>
      <c r="AN12" s="38"/>
      <c r="AO12" s="38"/>
      <c r="AP12" s="38"/>
      <c r="AQ12" s="38"/>
      <c r="AR12" s="38"/>
      <c r="AS12" s="38"/>
      <c r="AT12" s="38"/>
      <c r="AU12" s="38"/>
      <c r="AV12" s="38"/>
      <c r="AW12" s="38"/>
      <c r="AX12" s="38"/>
      <c r="AY12" s="38"/>
      <c r="AZ12" s="38"/>
      <c r="BA12" s="38"/>
      <c r="BB12" s="38"/>
      <c r="BC12" s="38"/>
      <c r="BD12" s="38"/>
      <c r="BE12" s="38"/>
      <c r="BF12" s="38"/>
      <c r="BG12" s="38"/>
      <c r="BH12" s="38"/>
      <c r="BI12" s="38"/>
      <c r="BJ12" s="38"/>
      <c r="BK12" s="38"/>
    </row>
    <row r="13" spans="1:63" s="38" customFormat="1" ht="39.75" customHeight="1">
      <c r="A13" s="505">
        <v>7</v>
      </c>
      <c r="B13" s="356" t="s">
        <v>37</v>
      </c>
      <c r="C13" s="504" t="s">
        <v>30</v>
      </c>
      <c r="D13" s="278">
        <v>12978.21</v>
      </c>
      <c r="E13" s="277">
        <v>30</v>
      </c>
      <c r="F13" s="277">
        <v>0</v>
      </c>
      <c r="G13" s="277">
        <f t="shared" si="9"/>
        <v>30</v>
      </c>
      <c r="H13" s="277">
        <f t="shared" si="0"/>
        <v>12978.21</v>
      </c>
      <c r="I13" s="277"/>
      <c r="J13" s="506"/>
      <c r="K13" s="510"/>
      <c r="L13" s="506"/>
      <c r="M13" s="506"/>
      <c r="N13" s="504">
        <f t="shared" si="1"/>
        <v>12978.21</v>
      </c>
      <c r="O13" s="504">
        <f t="shared" si="2"/>
        <v>12978.21</v>
      </c>
      <c r="P13" s="504">
        <f t="shared" si="3"/>
        <v>2543.4629999999997</v>
      </c>
      <c r="Q13" s="435"/>
      <c r="R13" s="505">
        <v>100</v>
      </c>
      <c r="S13" s="435"/>
      <c r="T13" s="505"/>
      <c r="U13" s="504"/>
      <c r="V13" s="504"/>
      <c r="W13" s="504"/>
      <c r="X13" s="504">
        <f t="shared" si="10"/>
        <v>2643.4629999999997</v>
      </c>
      <c r="Y13" s="507">
        <f t="shared" si="6"/>
        <v>10334.746999999999</v>
      </c>
      <c r="Z13" s="260"/>
      <c r="AB13" s="39">
        <v>90</v>
      </c>
      <c r="AC13" s="38" t="e">
        <f>D13-#REF!</f>
        <v>#REF!</v>
      </c>
      <c r="AD13" s="38" t="e">
        <f t="shared" si="7"/>
        <v>#REF!</v>
      </c>
      <c r="AE13" s="38" t="e">
        <f t="shared" si="8"/>
        <v>#REF!</v>
      </c>
    </row>
    <row r="14" spans="1:63" s="38" customFormat="1" ht="39.75" customHeight="1">
      <c r="A14" s="505">
        <v>8</v>
      </c>
      <c r="B14" s="356" t="s">
        <v>38</v>
      </c>
      <c r="C14" s="504" t="s">
        <v>30</v>
      </c>
      <c r="D14" s="278">
        <v>16015.97</v>
      </c>
      <c r="E14" s="277">
        <v>30</v>
      </c>
      <c r="F14" s="277">
        <v>0</v>
      </c>
      <c r="G14" s="277">
        <f t="shared" si="9"/>
        <v>30</v>
      </c>
      <c r="H14" s="277">
        <f t="shared" si="0"/>
        <v>16015.970000000001</v>
      </c>
      <c r="I14" s="277"/>
      <c r="J14" s="506">
        <v>1600</v>
      </c>
      <c r="K14" s="510"/>
      <c r="L14" s="506"/>
      <c r="M14" s="506">
        <v>1000</v>
      </c>
      <c r="N14" s="504">
        <f t="shared" si="1"/>
        <v>18615.97</v>
      </c>
      <c r="O14" s="504">
        <f>H14</f>
        <v>16015.970000000001</v>
      </c>
      <c r="P14" s="504">
        <f t="shared" si="3"/>
        <v>3555.5895</v>
      </c>
      <c r="Q14" s="511">
        <v>1800</v>
      </c>
      <c r="R14" s="505">
        <v>100</v>
      </c>
      <c r="S14" s="435"/>
      <c r="T14" s="505"/>
      <c r="U14" s="504">
        <f t="shared" si="4"/>
        <v>1121.1179000000002</v>
      </c>
      <c r="V14" s="504">
        <f>H14*0.11</f>
        <v>1761.7567000000001</v>
      </c>
      <c r="W14" s="504"/>
      <c r="X14" s="504">
        <f t="shared" si="10"/>
        <v>6576.7074000000002</v>
      </c>
      <c r="Y14" s="507">
        <f t="shared" si="6"/>
        <v>12039.262600000002</v>
      </c>
      <c r="Z14" s="260"/>
      <c r="AB14" s="39">
        <v>95</v>
      </c>
      <c r="AC14" s="38" t="e">
        <f>D14-#REF!</f>
        <v>#REF!</v>
      </c>
      <c r="AD14" s="38" t="e">
        <f t="shared" si="7"/>
        <v>#REF!</v>
      </c>
      <c r="AE14" s="38" t="e">
        <f t="shared" si="8"/>
        <v>#REF!</v>
      </c>
    </row>
    <row r="15" spans="1:63" s="78" customFormat="1" ht="39.75" customHeight="1">
      <c r="A15" s="505">
        <v>9</v>
      </c>
      <c r="B15" s="356" t="s">
        <v>39</v>
      </c>
      <c r="C15" s="504" t="s">
        <v>30</v>
      </c>
      <c r="D15" s="278">
        <v>13278.21</v>
      </c>
      <c r="E15" s="277">
        <v>30</v>
      </c>
      <c r="F15" s="277">
        <v>0</v>
      </c>
      <c r="G15" s="277">
        <f t="shared" si="9"/>
        <v>30</v>
      </c>
      <c r="H15" s="277">
        <f t="shared" si="0"/>
        <v>13278.21</v>
      </c>
      <c r="I15" s="277"/>
      <c r="J15" s="506">
        <v>2400</v>
      </c>
      <c r="K15" s="510"/>
      <c r="L15" s="506"/>
      <c r="M15" s="506"/>
      <c r="N15" s="504">
        <f t="shared" si="1"/>
        <v>15678.21</v>
      </c>
      <c r="O15" s="504">
        <f t="shared" si="2"/>
        <v>15678.21</v>
      </c>
      <c r="P15" s="504">
        <f t="shared" si="3"/>
        <v>3437.3734999999997</v>
      </c>
      <c r="Q15" s="435"/>
      <c r="R15" s="505">
        <v>100</v>
      </c>
      <c r="S15" s="435"/>
      <c r="T15" s="505"/>
      <c r="U15" s="504">
        <f t="shared" si="4"/>
        <v>929.47469999999998</v>
      </c>
      <c r="V15" s="504">
        <f>H15*0.11</f>
        <v>1460.6030999999998</v>
      </c>
      <c r="W15" s="504"/>
      <c r="X15" s="504">
        <f t="shared" si="10"/>
        <v>4466.8481999999995</v>
      </c>
      <c r="Y15" s="507">
        <f t="shared" si="6"/>
        <v>11211.361799999999</v>
      </c>
      <c r="Z15" s="260"/>
      <c r="AA15" s="38"/>
      <c r="AB15" s="39">
        <v>87</v>
      </c>
      <c r="AC15" s="38" t="e">
        <f>D15-#REF!</f>
        <v>#REF!</v>
      </c>
      <c r="AD15" s="38" t="e">
        <f t="shared" si="7"/>
        <v>#REF!</v>
      </c>
      <c r="AE15" s="38" t="e">
        <f t="shared" si="8"/>
        <v>#REF!</v>
      </c>
      <c r="AF15" s="38"/>
      <c r="AG15" s="38"/>
      <c r="AH15" s="38"/>
      <c r="AI15" s="38"/>
      <c r="AJ15" s="38"/>
      <c r="AK15" s="38"/>
      <c r="AL15" s="38"/>
      <c r="AM15" s="38"/>
      <c r="AN15" s="38"/>
      <c r="AO15" s="38"/>
      <c r="AP15" s="38"/>
      <c r="AQ15" s="38"/>
      <c r="AR15" s="38"/>
      <c r="AS15" s="38"/>
      <c r="AT15" s="38"/>
      <c r="AU15" s="38"/>
      <c r="AV15" s="38"/>
      <c r="AW15" s="38"/>
      <c r="AX15" s="38"/>
      <c r="AY15" s="38"/>
      <c r="AZ15" s="38"/>
      <c r="BA15" s="38"/>
      <c r="BB15" s="38"/>
      <c r="BC15" s="38"/>
      <c r="BD15" s="38"/>
      <c r="BE15" s="38"/>
      <c r="BF15" s="38"/>
      <c r="BG15" s="38"/>
      <c r="BH15" s="38"/>
      <c r="BI15" s="38"/>
      <c r="BJ15" s="38"/>
      <c r="BK15" s="38"/>
    </row>
    <row r="16" spans="1:63" s="78" customFormat="1" ht="39.75" customHeight="1">
      <c r="A16" s="505">
        <v>10</v>
      </c>
      <c r="B16" s="356" t="s">
        <v>40</v>
      </c>
      <c r="C16" s="504" t="s">
        <v>30</v>
      </c>
      <c r="D16" s="278">
        <v>21329</v>
      </c>
      <c r="E16" s="277">
        <v>30</v>
      </c>
      <c r="F16" s="277">
        <v>0</v>
      </c>
      <c r="G16" s="277">
        <f t="shared" si="9"/>
        <v>30</v>
      </c>
      <c r="H16" s="277">
        <f t="shared" si="0"/>
        <v>21329</v>
      </c>
      <c r="I16" s="277"/>
      <c r="J16" s="506">
        <v>2200</v>
      </c>
      <c r="K16" s="510"/>
      <c r="L16" s="506"/>
      <c r="M16" s="506">
        <v>1000</v>
      </c>
      <c r="N16" s="504">
        <f t="shared" si="1"/>
        <v>24529</v>
      </c>
      <c r="O16" s="504">
        <f t="shared" si="2"/>
        <v>23529</v>
      </c>
      <c r="P16" s="504">
        <f t="shared" si="3"/>
        <v>6185.15</v>
      </c>
      <c r="Q16" s="435">
        <v>1250</v>
      </c>
      <c r="R16" s="505">
        <v>100</v>
      </c>
      <c r="S16" s="435"/>
      <c r="T16" s="505"/>
      <c r="U16" s="504">
        <f t="shared" si="4"/>
        <v>1493.0300000000002</v>
      </c>
      <c r="V16" s="504">
        <f t="shared" ref="V16:V34" si="11">H16*0.11</f>
        <v>2346.19</v>
      </c>
      <c r="W16" s="504"/>
      <c r="X16" s="504">
        <f t="shared" si="10"/>
        <v>9028.18</v>
      </c>
      <c r="Y16" s="507">
        <f t="shared" si="6"/>
        <v>15500.82</v>
      </c>
      <c r="Z16" s="260"/>
      <c r="AA16" s="38"/>
      <c r="AB16" s="39">
        <v>88</v>
      </c>
      <c r="AC16" s="38" t="e">
        <f>D16-#REF!</f>
        <v>#REF!</v>
      </c>
      <c r="AD16" s="38" t="e">
        <f t="shared" si="7"/>
        <v>#REF!</v>
      </c>
      <c r="AE16" s="38" t="e">
        <f t="shared" si="8"/>
        <v>#REF!</v>
      </c>
      <c r="AF16" s="38"/>
      <c r="AG16" s="38"/>
      <c r="AH16" s="38"/>
      <c r="AI16" s="38"/>
      <c r="AJ16" s="38"/>
      <c r="AK16" s="38"/>
      <c r="AL16" s="38"/>
      <c r="AM16" s="38"/>
      <c r="AN16" s="38"/>
      <c r="AO16" s="38"/>
      <c r="AP16" s="38"/>
      <c r="AQ16" s="38"/>
      <c r="AR16" s="38"/>
      <c r="AS16" s="38"/>
      <c r="AT16" s="38"/>
      <c r="AU16" s="38"/>
      <c r="AV16" s="38"/>
      <c r="AW16" s="38"/>
      <c r="AX16" s="38"/>
      <c r="AY16" s="38"/>
      <c r="AZ16" s="38"/>
      <c r="BA16" s="38"/>
      <c r="BB16" s="38"/>
      <c r="BC16" s="38"/>
      <c r="BD16" s="38"/>
      <c r="BE16" s="38"/>
      <c r="BF16" s="38"/>
      <c r="BG16" s="38"/>
      <c r="BH16" s="38"/>
      <c r="BI16" s="38"/>
      <c r="BJ16" s="38"/>
      <c r="BK16" s="38"/>
    </row>
    <row r="17" spans="1:63" s="78" customFormat="1" ht="39.75" customHeight="1">
      <c r="A17" s="505">
        <v>11</v>
      </c>
      <c r="B17" s="356" t="s">
        <v>41</v>
      </c>
      <c r="C17" s="504" t="s">
        <v>30</v>
      </c>
      <c r="D17" s="278">
        <v>13305.77</v>
      </c>
      <c r="E17" s="277">
        <v>30</v>
      </c>
      <c r="F17" s="277">
        <v>0</v>
      </c>
      <c r="G17" s="277">
        <f t="shared" si="9"/>
        <v>30</v>
      </c>
      <c r="H17" s="277">
        <f t="shared" si="0"/>
        <v>13305.77</v>
      </c>
      <c r="I17" s="277"/>
      <c r="J17" s="506">
        <v>2200</v>
      </c>
      <c r="K17" s="510"/>
      <c r="L17" s="506"/>
      <c r="M17" s="506"/>
      <c r="N17" s="504">
        <f t="shared" si="1"/>
        <v>15505.77</v>
      </c>
      <c r="O17" s="504">
        <f t="shared" si="2"/>
        <v>15505.77</v>
      </c>
      <c r="P17" s="504">
        <f t="shared" si="3"/>
        <v>3377.0194999999994</v>
      </c>
      <c r="Q17" s="435"/>
      <c r="R17" s="505">
        <v>100</v>
      </c>
      <c r="S17" s="505"/>
      <c r="T17" s="505"/>
      <c r="U17" s="504">
        <f t="shared" si="4"/>
        <v>931.40390000000014</v>
      </c>
      <c r="V17" s="504">
        <f t="shared" si="11"/>
        <v>1463.6347000000001</v>
      </c>
      <c r="W17" s="504"/>
      <c r="X17" s="504">
        <f t="shared" si="10"/>
        <v>4408.4233999999997</v>
      </c>
      <c r="Y17" s="507">
        <f t="shared" si="6"/>
        <v>11097.346600000001</v>
      </c>
      <c r="Z17" s="260"/>
      <c r="AA17" s="38"/>
      <c r="AB17" s="39">
        <v>84</v>
      </c>
      <c r="AC17" s="38" t="e">
        <f>D17-#REF!</f>
        <v>#REF!</v>
      </c>
      <c r="AD17" s="38" t="e">
        <f t="shared" si="7"/>
        <v>#REF!</v>
      </c>
      <c r="AE17" s="38" t="e">
        <f t="shared" si="8"/>
        <v>#REF!</v>
      </c>
      <c r="AF17" s="38"/>
      <c r="AG17" s="38"/>
      <c r="AH17" s="38"/>
      <c r="AI17" s="38"/>
      <c r="AJ17" s="38"/>
      <c r="AK17" s="38"/>
      <c r="AL17" s="38"/>
      <c r="AM17" s="38"/>
      <c r="AN17" s="38"/>
      <c r="AO17" s="38"/>
      <c r="AP17" s="38"/>
      <c r="AQ17" s="38"/>
      <c r="AR17" s="38"/>
      <c r="AS17" s="38"/>
      <c r="AT17" s="38"/>
      <c r="AU17" s="38"/>
      <c r="AV17" s="38"/>
      <c r="AW17" s="38"/>
      <c r="AX17" s="38"/>
      <c r="AY17" s="38"/>
      <c r="AZ17" s="38"/>
      <c r="BA17" s="38"/>
      <c r="BB17" s="38"/>
      <c r="BC17" s="38"/>
      <c r="BD17" s="38"/>
      <c r="BE17" s="38"/>
      <c r="BF17" s="38"/>
      <c r="BG17" s="38"/>
      <c r="BH17" s="38"/>
      <c r="BI17" s="38"/>
      <c r="BJ17" s="38"/>
      <c r="BK17" s="38"/>
    </row>
    <row r="18" spans="1:63" s="180" customFormat="1" ht="39.75" customHeight="1">
      <c r="A18" s="505">
        <v>12</v>
      </c>
      <c r="B18" s="356" t="s">
        <v>42</v>
      </c>
      <c r="C18" s="504" t="s">
        <v>30</v>
      </c>
      <c r="D18" s="278">
        <v>9880.2999999999993</v>
      </c>
      <c r="E18" s="277">
        <v>30</v>
      </c>
      <c r="F18" s="277">
        <v>0</v>
      </c>
      <c r="G18" s="277">
        <f t="shared" si="9"/>
        <v>30</v>
      </c>
      <c r="H18" s="277">
        <f t="shared" si="0"/>
        <v>9880.2999999999993</v>
      </c>
      <c r="I18" s="277"/>
      <c r="J18" s="506"/>
      <c r="K18" s="510"/>
      <c r="L18" s="506"/>
      <c r="M18" s="506"/>
      <c r="N18" s="504">
        <f t="shared" si="1"/>
        <v>9880.2999999999993</v>
      </c>
      <c r="O18" s="504">
        <f t="shared" si="2"/>
        <v>9880.2999999999993</v>
      </c>
      <c r="P18" s="504">
        <f t="shared" si="3"/>
        <v>1620.0749999999998</v>
      </c>
      <c r="Q18" s="435"/>
      <c r="R18" s="505">
        <v>100</v>
      </c>
      <c r="S18" s="435"/>
      <c r="T18" s="514">
        <v>3830</v>
      </c>
      <c r="U18" s="504">
        <f t="shared" si="4"/>
        <v>691.62099999999998</v>
      </c>
      <c r="V18" s="504">
        <f t="shared" si="11"/>
        <v>1086.8329999999999</v>
      </c>
      <c r="W18" s="504"/>
      <c r="X18" s="504">
        <f t="shared" si="10"/>
        <v>6241.6959999999999</v>
      </c>
      <c r="Y18" s="507">
        <f t="shared" si="6"/>
        <v>3638.6039999999994</v>
      </c>
      <c r="Z18" s="263"/>
      <c r="AB18" s="181">
        <v>82</v>
      </c>
      <c r="AC18" s="180" t="e">
        <f>D18-#REF!</f>
        <v>#REF!</v>
      </c>
      <c r="AD18" s="180" t="e">
        <f t="shared" si="7"/>
        <v>#REF!</v>
      </c>
      <c r="AE18" s="180" t="e">
        <f t="shared" si="8"/>
        <v>#REF!</v>
      </c>
    </row>
    <row r="19" spans="1:63" s="78" customFormat="1" ht="39.75" customHeight="1">
      <c r="A19" s="505">
        <v>13</v>
      </c>
      <c r="B19" s="356" t="s">
        <v>43</v>
      </c>
      <c r="C19" s="504" t="s">
        <v>30</v>
      </c>
      <c r="D19" s="278">
        <v>13404.59</v>
      </c>
      <c r="E19" s="277">
        <v>30</v>
      </c>
      <c r="F19" s="277">
        <v>0</v>
      </c>
      <c r="G19" s="277">
        <f t="shared" si="9"/>
        <v>30</v>
      </c>
      <c r="H19" s="277">
        <f t="shared" si="0"/>
        <v>13404.59</v>
      </c>
      <c r="I19" s="277"/>
      <c r="J19" s="506">
        <v>2200</v>
      </c>
      <c r="K19" s="510"/>
      <c r="L19" s="506"/>
      <c r="M19" s="506"/>
      <c r="N19" s="504">
        <f t="shared" si="1"/>
        <v>15604.59</v>
      </c>
      <c r="O19" s="504">
        <f>H19</f>
        <v>13404.59</v>
      </c>
      <c r="P19" s="504">
        <f t="shared" si="3"/>
        <v>2671.377</v>
      </c>
      <c r="Q19" s="435"/>
      <c r="R19" s="505">
        <v>100</v>
      </c>
      <c r="S19" s="435"/>
      <c r="T19" s="514"/>
      <c r="U19" s="504">
        <f t="shared" si="4"/>
        <v>938.32130000000006</v>
      </c>
      <c r="V19" s="504">
        <f t="shared" si="11"/>
        <v>1474.5049000000001</v>
      </c>
      <c r="W19" s="504"/>
      <c r="X19" s="504">
        <f t="shared" si="10"/>
        <v>3709.6983</v>
      </c>
      <c r="Y19" s="507">
        <f t="shared" si="6"/>
        <v>11894.8917</v>
      </c>
      <c r="Z19" s="260"/>
      <c r="AA19" s="38"/>
      <c r="AB19" s="39">
        <v>88</v>
      </c>
      <c r="AC19" s="38"/>
      <c r="AD19" s="38"/>
      <c r="AE19" s="38"/>
      <c r="AF19" s="38"/>
      <c r="AG19" s="38"/>
      <c r="AH19" s="38"/>
      <c r="AI19" s="38"/>
      <c r="AJ19" s="38"/>
      <c r="AK19" s="38"/>
      <c r="AL19" s="38"/>
      <c r="AM19" s="38"/>
      <c r="AN19" s="38"/>
      <c r="AO19" s="38"/>
      <c r="AP19" s="38"/>
      <c r="AQ19" s="38"/>
      <c r="AR19" s="38"/>
      <c r="AS19" s="38"/>
      <c r="AT19" s="38"/>
      <c r="AU19" s="38"/>
      <c r="AV19" s="38"/>
      <c r="AW19" s="38"/>
      <c r="AX19" s="38"/>
      <c r="AY19" s="38"/>
      <c r="AZ19" s="38"/>
      <c r="BA19" s="38"/>
      <c r="BB19" s="38"/>
      <c r="BC19" s="38"/>
      <c r="BD19" s="38"/>
      <c r="BE19" s="38"/>
      <c r="BF19" s="38"/>
      <c r="BG19" s="38"/>
      <c r="BH19" s="38"/>
      <c r="BI19" s="38"/>
      <c r="BJ19" s="38"/>
      <c r="BK19" s="38"/>
    </row>
    <row r="20" spans="1:63" s="38" customFormat="1" ht="39.75" customHeight="1">
      <c r="A20" s="505">
        <v>14</v>
      </c>
      <c r="B20" s="356" t="s">
        <v>44</v>
      </c>
      <c r="C20" s="504" t="s">
        <v>30</v>
      </c>
      <c r="D20" s="278">
        <v>10330.18</v>
      </c>
      <c r="E20" s="277">
        <v>30</v>
      </c>
      <c r="F20" s="277">
        <v>0</v>
      </c>
      <c r="G20" s="277">
        <f t="shared" si="9"/>
        <v>30</v>
      </c>
      <c r="H20" s="277">
        <f t="shared" si="0"/>
        <v>10330.18</v>
      </c>
      <c r="I20" s="277"/>
      <c r="J20" s="506">
        <v>2400</v>
      </c>
      <c r="K20" s="277"/>
      <c r="L20" s="506"/>
      <c r="M20" s="506"/>
      <c r="N20" s="504">
        <f t="shared" si="1"/>
        <v>12730.18</v>
      </c>
      <c r="O20" s="504">
        <f t="shared" si="2"/>
        <v>12730.18</v>
      </c>
      <c r="P20" s="504">
        <f t="shared" si="3"/>
        <v>2469.0540000000001</v>
      </c>
      <c r="Q20" s="435"/>
      <c r="R20" s="505">
        <v>100</v>
      </c>
      <c r="S20" s="505"/>
      <c r="T20" s="505"/>
      <c r="U20" s="504">
        <f t="shared" si="4"/>
        <v>723.11260000000004</v>
      </c>
      <c r="V20" s="504">
        <f t="shared" si="11"/>
        <v>1136.3198</v>
      </c>
      <c r="W20" s="504"/>
      <c r="X20" s="504">
        <f t="shared" si="10"/>
        <v>3292.1666</v>
      </c>
      <c r="Y20" s="507">
        <f t="shared" si="6"/>
        <v>9438.0133999999998</v>
      </c>
      <c r="Z20" s="260"/>
      <c r="AB20" s="39">
        <v>86</v>
      </c>
      <c r="AC20" s="38" t="e">
        <f>D20-#REF!</f>
        <v>#REF!</v>
      </c>
      <c r="AD20" s="38" t="e">
        <f t="shared" si="7"/>
        <v>#REF!</v>
      </c>
      <c r="AE20" s="38" t="e">
        <f t="shared" si="8"/>
        <v>#REF!</v>
      </c>
    </row>
    <row r="21" spans="1:63" s="180" customFormat="1" ht="39.75" customHeight="1">
      <c r="A21" s="505">
        <v>15</v>
      </c>
      <c r="B21" s="356" t="s">
        <v>45</v>
      </c>
      <c r="C21" s="504" t="s">
        <v>30</v>
      </c>
      <c r="D21" s="278">
        <v>12810.18</v>
      </c>
      <c r="E21" s="277">
        <v>30</v>
      </c>
      <c r="F21" s="277">
        <v>0</v>
      </c>
      <c r="G21" s="277">
        <f t="shared" si="9"/>
        <v>30</v>
      </c>
      <c r="H21" s="277">
        <f t="shared" si="0"/>
        <v>12810.18</v>
      </c>
      <c r="I21" s="506"/>
      <c r="J21" s="506"/>
      <c r="K21" s="510"/>
      <c r="L21" s="506">
        <v>1500</v>
      </c>
      <c r="M21" s="512"/>
      <c r="N21" s="504">
        <f>H21+I21+J21+K21+LM21+L21</f>
        <v>14310.18</v>
      </c>
      <c r="O21" s="504">
        <f>H21+J21</f>
        <v>12810.18</v>
      </c>
      <c r="P21" s="504">
        <f t="shared" si="3"/>
        <v>2493.0540000000001</v>
      </c>
      <c r="Q21" s="435">
        <v>4000</v>
      </c>
      <c r="R21" s="505">
        <v>100</v>
      </c>
      <c r="S21" s="435"/>
      <c r="T21" s="514">
        <v>2500</v>
      </c>
      <c r="U21" s="504">
        <f t="shared" si="4"/>
        <v>896.71260000000007</v>
      </c>
      <c r="V21" s="504">
        <f t="shared" si="11"/>
        <v>1409.1197999999999</v>
      </c>
      <c r="W21" s="504"/>
      <c r="X21" s="504">
        <f t="shared" si="10"/>
        <v>9989.7666000000008</v>
      </c>
      <c r="Y21" s="507">
        <f t="shared" si="6"/>
        <v>4320.4133999999995</v>
      </c>
      <c r="Z21" s="263"/>
      <c r="AB21" s="181">
        <v>85</v>
      </c>
      <c r="AC21" s="180" t="e">
        <f>D21-#REF!</f>
        <v>#REF!</v>
      </c>
      <c r="AD21" s="180" t="e">
        <f t="shared" si="7"/>
        <v>#REF!</v>
      </c>
      <c r="AE21" s="180" t="e">
        <f t="shared" si="8"/>
        <v>#REF!</v>
      </c>
    </row>
    <row r="22" spans="1:63" s="184" customFormat="1" ht="39.75" customHeight="1">
      <c r="A22" s="505">
        <v>16</v>
      </c>
      <c r="B22" s="356" t="s">
        <v>46</v>
      </c>
      <c r="C22" s="504" t="s">
        <v>30</v>
      </c>
      <c r="D22" s="278">
        <v>10030</v>
      </c>
      <c r="E22" s="277">
        <v>30</v>
      </c>
      <c r="F22" s="657">
        <v>0.5</v>
      </c>
      <c r="G22" s="657">
        <f t="shared" si="9"/>
        <v>29.5</v>
      </c>
      <c r="H22" s="277">
        <f t="shared" si="0"/>
        <v>9862.8333333333321</v>
      </c>
      <c r="I22" s="506"/>
      <c r="J22" s="506">
        <v>2400</v>
      </c>
      <c r="K22" s="508"/>
      <c r="L22" s="506"/>
      <c r="M22" s="506"/>
      <c r="N22" s="504">
        <f t="shared" si="1"/>
        <v>12262.833333333332</v>
      </c>
      <c r="O22" s="504">
        <f t="shared" si="2"/>
        <v>12262.833333333332</v>
      </c>
      <c r="P22" s="504">
        <f t="shared" si="3"/>
        <v>2328.8499999999995</v>
      </c>
      <c r="Q22" s="435"/>
      <c r="R22" s="505">
        <v>100</v>
      </c>
      <c r="S22" s="435"/>
      <c r="T22" s="514">
        <v>2000</v>
      </c>
      <c r="U22" s="504">
        <f t="shared" si="4"/>
        <v>690.39833333333331</v>
      </c>
      <c r="V22" s="504">
        <f t="shared" si="11"/>
        <v>1084.9116666666666</v>
      </c>
      <c r="W22" s="504"/>
      <c r="X22" s="504">
        <f t="shared" si="10"/>
        <v>5119.248333333333</v>
      </c>
      <c r="Y22" s="507">
        <f t="shared" si="6"/>
        <v>7143.5849999999991</v>
      </c>
      <c r="Z22" s="263"/>
      <c r="AB22" s="185"/>
    </row>
    <row r="23" spans="1:63" s="180" customFormat="1" ht="39.75" customHeight="1">
      <c r="A23" s="505">
        <v>17</v>
      </c>
      <c r="B23" s="356" t="s">
        <v>47</v>
      </c>
      <c r="C23" s="504" t="s">
        <v>30</v>
      </c>
      <c r="D23" s="278">
        <v>9618.89</v>
      </c>
      <c r="E23" s="277">
        <v>30</v>
      </c>
      <c r="F23" s="277">
        <v>0</v>
      </c>
      <c r="G23" s="277">
        <f t="shared" si="9"/>
        <v>30</v>
      </c>
      <c r="H23" s="277">
        <f t="shared" si="0"/>
        <v>9618.89</v>
      </c>
      <c r="I23" s="506"/>
      <c r="J23" s="506">
        <v>1600</v>
      </c>
      <c r="K23" s="508"/>
      <c r="L23" s="506"/>
      <c r="M23" s="506"/>
      <c r="N23" s="504">
        <f t="shared" si="1"/>
        <v>11218.89</v>
      </c>
      <c r="O23" s="504">
        <f>H23</f>
        <v>9618.89</v>
      </c>
      <c r="P23" s="504">
        <f t="shared" si="3"/>
        <v>1554.7224999999999</v>
      </c>
      <c r="Q23" s="435"/>
      <c r="R23" s="505">
        <v>100</v>
      </c>
      <c r="S23" s="435"/>
      <c r="T23" s="514">
        <v>1100</v>
      </c>
      <c r="U23" s="504">
        <f t="shared" si="4"/>
        <v>673.32230000000004</v>
      </c>
      <c r="V23" s="504">
        <f t="shared" si="11"/>
        <v>1058.0779</v>
      </c>
      <c r="W23" s="504"/>
      <c r="X23" s="504">
        <f t="shared" si="10"/>
        <v>3428.0447999999997</v>
      </c>
      <c r="Y23" s="507">
        <f t="shared" si="6"/>
        <v>7790.8451999999997</v>
      </c>
      <c r="Z23" s="263"/>
      <c r="AB23" s="181"/>
    </row>
    <row r="24" spans="1:63" s="78" customFormat="1" ht="39.75" customHeight="1">
      <c r="A24" s="505">
        <v>18</v>
      </c>
      <c r="B24" s="356" t="s">
        <v>48</v>
      </c>
      <c r="C24" s="504" t="s">
        <v>30</v>
      </c>
      <c r="D24" s="278">
        <v>9002</v>
      </c>
      <c r="E24" s="277">
        <v>30</v>
      </c>
      <c r="F24" s="277">
        <v>0</v>
      </c>
      <c r="G24" s="277">
        <f t="shared" si="9"/>
        <v>30</v>
      </c>
      <c r="H24" s="277">
        <f t="shared" si="0"/>
        <v>9002</v>
      </c>
      <c r="I24" s="277"/>
      <c r="J24" s="506">
        <v>2400</v>
      </c>
      <c r="K24" s="510"/>
      <c r="L24" s="506"/>
      <c r="M24" s="506"/>
      <c r="N24" s="504">
        <f t="shared" si="1"/>
        <v>11402</v>
      </c>
      <c r="O24" s="504">
        <f t="shared" si="2"/>
        <v>11402</v>
      </c>
      <c r="P24" s="504">
        <f t="shared" si="3"/>
        <v>2070.6</v>
      </c>
      <c r="Q24" s="435"/>
      <c r="R24" s="505">
        <v>100</v>
      </c>
      <c r="S24" s="505"/>
      <c r="T24" s="435"/>
      <c r="U24" s="504">
        <f t="shared" si="4"/>
        <v>630.1400000000001</v>
      </c>
      <c r="V24" s="504">
        <f t="shared" si="11"/>
        <v>990.22</v>
      </c>
      <c r="W24" s="504"/>
      <c r="X24" s="504">
        <f t="shared" si="10"/>
        <v>2800.74</v>
      </c>
      <c r="Y24" s="507">
        <f t="shared" si="6"/>
        <v>8601.26</v>
      </c>
      <c r="Z24" s="260"/>
      <c r="AA24" s="38"/>
      <c r="AB24" s="39"/>
      <c r="AC24" s="38"/>
      <c r="AD24" s="38"/>
      <c r="AE24" s="38"/>
      <c r="AF24" s="38"/>
      <c r="AG24" s="38"/>
      <c r="AH24" s="38"/>
      <c r="AI24" s="38"/>
      <c r="AJ24" s="38"/>
      <c r="AK24" s="38"/>
      <c r="AL24" s="38"/>
      <c r="AM24" s="38"/>
      <c r="AN24" s="38"/>
      <c r="AO24" s="38"/>
      <c r="AP24" s="38"/>
      <c r="AQ24" s="38"/>
      <c r="AR24" s="38"/>
      <c r="AS24" s="38"/>
      <c r="AT24" s="38"/>
      <c r="AU24" s="38"/>
      <c r="AV24" s="38"/>
      <c r="AW24" s="38"/>
      <c r="AX24" s="38"/>
      <c r="AY24" s="38"/>
      <c r="AZ24" s="38"/>
      <c r="BA24" s="38"/>
      <c r="BB24" s="38"/>
      <c r="BC24" s="38"/>
      <c r="BD24" s="38"/>
      <c r="BE24" s="38"/>
      <c r="BF24" s="38"/>
      <c r="BG24" s="38"/>
      <c r="BH24" s="38"/>
      <c r="BI24" s="38"/>
      <c r="BJ24" s="38"/>
      <c r="BK24" s="38"/>
    </row>
    <row r="25" spans="1:63" s="180" customFormat="1" ht="39.75" customHeight="1">
      <c r="A25" s="505">
        <v>19</v>
      </c>
      <c r="B25" s="356" t="s">
        <v>49</v>
      </c>
      <c r="C25" s="504" t="s">
        <v>30</v>
      </c>
      <c r="D25" s="278">
        <v>11822</v>
      </c>
      <c r="E25" s="277">
        <v>30</v>
      </c>
      <c r="F25" s="277">
        <v>0</v>
      </c>
      <c r="G25" s="277">
        <f t="shared" si="9"/>
        <v>30</v>
      </c>
      <c r="H25" s="277">
        <f t="shared" si="0"/>
        <v>11822</v>
      </c>
      <c r="I25" s="506"/>
      <c r="J25" s="506">
        <v>2400</v>
      </c>
      <c r="K25" s="508"/>
      <c r="L25" s="506"/>
      <c r="M25" s="506"/>
      <c r="N25" s="504">
        <f t="shared" si="1"/>
        <v>14222</v>
      </c>
      <c r="O25" s="504">
        <f t="shared" si="2"/>
        <v>14222</v>
      </c>
      <c r="P25" s="504">
        <f t="shared" si="3"/>
        <v>2927.7</v>
      </c>
      <c r="Q25" s="435"/>
      <c r="R25" s="505">
        <v>100</v>
      </c>
      <c r="S25" s="658">
        <v>550</v>
      </c>
      <c r="T25" s="435"/>
      <c r="U25" s="504">
        <f t="shared" si="4"/>
        <v>827.54000000000008</v>
      </c>
      <c r="V25" s="504">
        <f t="shared" si="11"/>
        <v>1300.42</v>
      </c>
      <c r="W25" s="504"/>
      <c r="X25" s="504">
        <f t="shared" si="10"/>
        <v>4405.24</v>
      </c>
      <c r="Y25" s="507">
        <f t="shared" si="6"/>
        <v>9816.76</v>
      </c>
      <c r="Z25" s="263"/>
      <c r="AB25" s="181"/>
    </row>
    <row r="26" spans="1:63" s="38" customFormat="1" ht="39.75" customHeight="1">
      <c r="A26" s="505">
        <v>20</v>
      </c>
      <c r="B26" s="356" t="s">
        <v>50</v>
      </c>
      <c r="C26" s="504" t="s">
        <v>30</v>
      </c>
      <c r="D26" s="278">
        <v>11203.04</v>
      </c>
      <c r="E26" s="277">
        <v>30</v>
      </c>
      <c r="F26" s="506">
        <v>1</v>
      </c>
      <c r="G26" s="506">
        <f t="shared" si="9"/>
        <v>29</v>
      </c>
      <c r="H26" s="277">
        <f t="shared" si="0"/>
        <v>10829.605333333335</v>
      </c>
      <c r="I26" s="277"/>
      <c r="J26" s="506">
        <v>2400</v>
      </c>
      <c r="K26" s="510"/>
      <c r="L26" s="506"/>
      <c r="M26" s="506">
        <v>1000</v>
      </c>
      <c r="N26" s="504">
        <f t="shared" si="1"/>
        <v>14229.605333333335</v>
      </c>
      <c r="O26" s="504">
        <f t="shared" si="2"/>
        <v>13229.605333333335</v>
      </c>
      <c r="P26" s="504">
        <f t="shared" si="3"/>
        <v>2618.8816000000002</v>
      </c>
      <c r="Q26" s="435"/>
      <c r="R26" s="505">
        <v>100</v>
      </c>
      <c r="S26" s="505"/>
      <c r="T26" s="435"/>
      <c r="U26" s="504">
        <f t="shared" si="4"/>
        <v>758.07237333333353</v>
      </c>
      <c r="V26" s="504">
        <f t="shared" si="11"/>
        <v>1191.2565866666669</v>
      </c>
      <c r="W26" s="504"/>
      <c r="X26" s="504">
        <f t="shared" si="10"/>
        <v>3476.9539733333336</v>
      </c>
      <c r="Y26" s="507">
        <f t="shared" si="6"/>
        <v>10752.651360000002</v>
      </c>
      <c r="Z26" s="260"/>
      <c r="AB26" s="39"/>
    </row>
    <row r="27" spans="1:63" s="180" customFormat="1" ht="39.75" customHeight="1">
      <c r="A27" s="505">
        <v>21</v>
      </c>
      <c r="B27" s="356" t="s">
        <v>51</v>
      </c>
      <c r="C27" s="504" t="s">
        <v>30</v>
      </c>
      <c r="D27" s="278">
        <v>9002</v>
      </c>
      <c r="E27" s="277">
        <v>30</v>
      </c>
      <c r="F27" s="277">
        <v>0</v>
      </c>
      <c r="G27" s="277">
        <f t="shared" si="9"/>
        <v>30</v>
      </c>
      <c r="H27" s="277">
        <f t="shared" si="0"/>
        <v>9002</v>
      </c>
      <c r="I27" s="506"/>
      <c r="J27" s="506"/>
      <c r="K27" s="508"/>
      <c r="L27" s="506"/>
      <c r="M27" s="506"/>
      <c r="N27" s="504">
        <f t="shared" si="1"/>
        <v>9002</v>
      </c>
      <c r="O27" s="504">
        <f t="shared" si="2"/>
        <v>9002</v>
      </c>
      <c r="P27" s="504">
        <f t="shared" si="3"/>
        <v>1400.5</v>
      </c>
      <c r="Q27" s="435"/>
      <c r="R27" s="505">
        <v>100</v>
      </c>
      <c r="S27" s="435">
        <v>3730</v>
      </c>
      <c r="T27" s="514"/>
      <c r="U27" s="504">
        <f t="shared" si="4"/>
        <v>630.1400000000001</v>
      </c>
      <c r="V27" s="504">
        <f t="shared" si="11"/>
        <v>990.22</v>
      </c>
      <c r="W27" s="504"/>
      <c r="X27" s="504">
        <f t="shared" si="10"/>
        <v>5860.64</v>
      </c>
      <c r="Y27" s="507">
        <f t="shared" si="6"/>
        <v>3141.3599999999997</v>
      </c>
      <c r="Z27" s="263"/>
      <c r="AB27" s="181"/>
    </row>
    <row r="28" spans="1:63" s="338" customFormat="1" ht="39.75" customHeight="1">
      <c r="A28" s="505">
        <v>22</v>
      </c>
      <c r="B28" s="356" t="s">
        <v>52</v>
      </c>
      <c r="C28" s="504" t="s">
        <v>30</v>
      </c>
      <c r="D28" s="278">
        <v>10825.57</v>
      </c>
      <c r="E28" s="277">
        <v>30</v>
      </c>
      <c r="F28" s="277">
        <v>0</v>
      </c>
      <c r="G28" s="277">
        <f t="shared" si="9"/>
        <v>30</v>
      </c>
      <c r="H28" s="277">
        <f t="shared" si="0"/>
        <v>10825.57</v>
      </c>
      <c r="I28" s="513"/>
      <c r="J28" s="506">
        <v>2400</v>
      </c>
      <c r="K28" s="513"/>
      <c r="L28" s="513"/>
      <c r="M28" s="513"/>
      <c r="N28" s="504">
        <f t="shared" si="1"/>
        <v>13225.57</v>
      </c>
      <c r="O28" s="504">
        <f>H28</f>
        <v>10825.57</v>
      </c>
      <c r="P28" s="504">
        <f t="shared" si="3"/>
        <v>1897.6709999999998</v>
      </c>
      <c r="Q28" s="514"/>
      <c r="R28" s="515">
        <v>100</v>
      </c>
      <c r="S28" s="435">
        <v>1730</v>
      </c>
      <c r="T28" s="514">
        <v>1700</v>
      </c>
      <c r="U28" s="504">
        <f t="shared" si="4"/>
        <v>757.7899000000001</v>
      </c>
      <c r="V28" s="504">
        <f t="shared" si="11"/>
        <v>1190.8126999999999</v>
      </c>
      <c r="W28" s="504"/>
      <c r="X28" s="504">
        <f t="shared" si="10"/>
        <v>6185.4609</v>
      </c>
      <c r="Y28" s="507">
        <f t="shared" si="6"/>
        <v>7040.1090999999997</v>
      </c>
      <c r="Z28" s="336"/>
      <c r="AB28" s="339"/>
    </row>
    <row r="29" spans="1:63" s="184" customFormat="1" ht="39.75" customHeight="1">
      <c r="A29" s="505">
        <v>23</v>
      </c>
      <c r="B29" s="356" t="s">
        <v>53</v>
      </c>
      <c r="C29" s="504" t="s">
        <v>30</v>
      </c>
      <c r="D29" s="278">
        <v>9002</v>
      </c>
      <c r="E29" s="530">
        <v>30</v>
      </c>
      <c r="F29" s="277">
        <v>0</v>
      </c>
      <c r="G29" s="277">
        <f t="shared" si="9"/>
        <v>30</v>
      </c>
      <c r="H29" s="277">
        <f t="shared" si="0"/>
        <v>9002</v>
      </c>
      <c r="I29" s="506"/>
      <c r="J29" s="506">
        <v>2400</v>
      </c>
      <c r="K29" s="508"/>
      <c r="L29" s="506"/>
      <c r="M29" s="506"/>
      <c r="N29" s="504">
        <f t="shared" si="1"/>
        <v>11402</v>
      </c>
      <c r="O29" s="504">
        <f t="shared" si="2"/>
        <v>11402</v>
      </c>
      <c r="P29" s="504">
        <f t="shared" si="3"/>
        <v>2070.6</v>
      </c>
      <c r="Q29" s="435"/>
      <c r="R29" s="505">
        <v>100</v>
      </c>
      <c r="S29" s="435"/>
      <c r="T29" s="514">
        <v>4000</v>
      </c>
      <c r="U29" s="504">
        <f t="shared" si="4"/>
        <v>630.1400000000001</v>
      </c>
      <c r="V29" s="504">
        <f t="shared" si="11"/>
        <v>990.22</v>
      </c>
      <c r="W29" s="504"/>
      <c r="X29" s="504">
        <f t="shared" si="10"/>
        <v>6800.7400000000007</v>
      </c>
      <c r="Y29" s="507">
        <f t="shared" si="6"/>
        <v>4601.2599999999993</v>
      </c>
      <c r="Z29" s="263"/>
      <c r="AB29" s="185"/>
    </row>
    <row r="30" spans="1:63" s="38" customFormat="1" ht="39.75" customHeight="1">
      <c r="A30" s="505">
        <v>24</v>
      </c>
      <c r="B30" s="356" t="s">
        <v>367</v>
      </c>
      <c r="C30" s="504" t="s">
        <v>30</v>
      </c>
      <c r="D30" s="278">
        <v>13642.4</v>
      </c>
      <c r="E30" s="277">
        <v>30</v>
      </c>
      <c r="F30" s="277">
        <v>0</v>
      </c>
      <c r="G30" s="277">
        <f t="shared" si="9"/>
        <v>30</v>
      </c>
      <c r="H30" s="277">
        <f t="shared" si="0"/>
        <v>13642.4</v>
      </c>
      <c r="I30" s="277"/>
      <c r="J30" s="506">
        <v>2400</v>
      </c>
      <c r="K30" s="277"/>
      <c r="L30" s="506" t="s">
        <v>7</v>
      </c>
      <c r="M30" s="506"/>
      <c r="N30" s="504">
        <f t="shared" si="1"/>
        <v>16042.4</v>
      </c>
      <c r="O30" s="504">
        <f t="shared" si="2"/>
        <v>16042.4</v>
      </c>
      <c r="P30" s="504">
        <f t="shared" si="3"/>
        <v>3564.8399999999992</v>
      </c>
      <c r="Q30" s="435"/>
      <c r="R30" s="505">
        <v>100</v>
      </c>
      <c r="S30" s="505"/>
      <c r="T30" s="435"/>
      <c r="U30" s="504">
        <f t="shared" si="4"/>
        <v>954.96800000000007</v>
      </c>
      <c r="V30" s="504">
        <f t="shared" si="11"/>
        <v>1500.664</v>
      </c>
      <c r="W30" s="504"/>
      <c r="X30" s="504">
        <f t="shared" si="10"/>
        <v>4619.8079999999991</v>
      </c>
      <c r="Y30" s="507">
        <f>N30-X30</f>
        <v>11422.592000000001</v>
      </c>
      <c r="Z30" s="260"/>
      <c r="AB30" s="39"/>
    </row>
    <row r="31" spans="1:63" s="182" customFormat="1" ht="39.75" customHeight="1">
      <c r="A31" s="505">
        <v>25</v>
      </c>
      <c r="B31" s="356" t="s">
        <v>54</v>
      </c>
      <c r="C31" s="504" t="s">
        <v>30</v>
      </c>
      <c r="D31" s="278">
        <v>9002</v>
      </c>
      <c r="E31" s="277">
        <v>30</v>
      </c>
      <c r="F31" s="277">
        <v>0</v>
      </c>
      <c r="G31" s="277">
        <f t="shared" si="9"/>
        <v>30</v>
      </c>
      <c r="H31" s="277">
        <f t="shared" si="0"/>
        <v>9002</v>
      </c>
      <c r="I31" s="277"/>
      <c r="J31" s="506">
        <v>1500</v>
      </c>
      <c r="K31" s="510"/>
      <c r="L31" s="506"/>
      <c r="M31" s="506"/>
      <c r="N31" s="504">
        <f t="shared" si="1"/>
        <v>10502</v>
      </c>
      <c r="O31" s="504">
        <f>H31</f>
        <v>9002</v>
      </c>
      <c r="P31" s="504">
        <f t="shared" si="3"/>
        <v>1400.5</v>
      </c>
      <c r="Q31" s="435"/>
      <c r="R31" s="505">
        <v>100</v>
      </c>
      <c r="S31" s="435">
        <v>1039</v>
      </c>
      <c r="T31" s="435"/>
      <c r="U31" s="504">
        <f t="shared" si="4"/>
        <v>630.1400000000001</v>
      </c>
      <c r="V31" s="504">
        <f t="shared" si="11"/>
        <v>990.22</v>
      </c>
      <c r="W31" s="504"/>
      <c r="X31" s="504">
        <f t="shared" si="10"/>
        <v>3169.6400000000003</v>
      </c>
      <c r="Y31" s="507">
        <f t="shared" si="6"/>
        <v>7332.36</v>
      </c>
      <c r="Z31" s="260"/>
      <c r="AB31" s="183"/>
    </row>
    <row r="32" spans="1:63" s="182" customFormat="1" ht="39.75" customHeight="1">
      <c r="A32" s="505">
        <v>26</v>
      </c>
      <c r="B32" s="356" t="s">
        <v>55</v>
      </c>
      <c r="C32" s="504" t="s">
        <v>30</v>
      </c>
      <c r="D32" s="278">
        <v>9000</v>
      </c>
      <c r="E32" s="277">
        <v>30</v>
      </c>
      <c r="F32" s="277">
        <v>0</v>
      </c>
      <c r="G32" s="277">
        <f t="shared" si="9"/>
        <v>30</v>
      </c>
      <c r="H32" s="277">
        <f t="shared" si="0"/>
        <v>9000</v>
      </c>
      <c r="I32" s="277"/>
      <c r="J32" s="506">
        <v>1800</v>
      </c>
      <c r="K32" s="510"/>
      <c r="L32" s="506"/>
      <c r="M32" s="506"/>
      <c r="N32" s="504">
        <f t="shared" si="1"/>
        <v>10800</v>
      </c>
      <c r="O32" s="504">
        <f t="shared" si="2"/>
        <v>10800</v>
      </c>
      <c r="P32" s="504">
        <f t="shared" si="3"/>
        <v>1890</v>
      </c>
      <c r="Q32" s="435"/>
      <c r="R32" s="505">
        <v>100</v>
      </c>
      <c r="S32" s="435"/>
      <c r="T32" s="435"/>
      <c r="U32" s="504">
        <f t="shared" si="4"/>
        <v>630.00000000000011</v>
      </c>
      <c r="V32" s="504">
        <f t="shared" si="11"/>
        <v>990</v>
      </c>
      <c r="W32" s="504"/>
      <c r="X32" s="504">
        <f t="shared" si="10"/>
        <v>2620</v>
      </c>
      <c r="Y32" s="507">
        <f t="shared" si="6"/>
        <v>8180</v>
      </c>
      <c r="Z32" s="260"/>
      <c r="AB32" s="183"/>
    </row>
    <row r="33" spans="1:63" s="186" customFormat="1" ht="39.75" customHeight="1">
      <c r="A33" s="505">
        <v>27</v>
      </c>
      <c r="B33" s="356" t="s">
        <v>56</v>
      </c>
      <c r="C33" s="504" t="s">
        <v>30</v>
      </c>
      <c r="D33" s="278">
        <v>13000</v>
      </c>
      <c r="E33" s="277">
        <v>30</v>
      </c>
      <c r="F33" s="277">
        <v>0</v>
      </c>
      <c r="G33" s="277">
        <f t="shared" si="9"/>
        <v>30</v>
      </c>
      <c r="H33" s="277">
        <f t="shared" si="0"/>
        <v>13000</v>
      </c>
      <c r="I33" s="277"/>
      <c r="J33" s="506">
        <v>2400</v>
      </c>
      <c r="K33" s="510"/>
      <c r="L33" s="506"/>
      <c r="M33" s="506"/>
      <c r="N33" s="504">
        <f t="shared" si="1"/>
        <v>15400</v>
      </c>
      <c r="O33" s="504">
        <f t="shared" si="2"/>
        <v>15400</v>
      </c>
      <c r="P33" s="504">
        <f t="shared" si="3"/>
        <v>3340</v>
      </c>
      <c r="Q33" s="435">
        <v>1800</v>
      </c>
      <c r="R33" s="505">
        <v>100</v>
      </c>
      <c r="S33" s="435">
        <v>5500</v>
      </c>
      <c r="T33" s="435"/>
      <c r="U33" s="504">
        <f t="shared" si="4"/>
        <v>910.00000000000011</v>
      </c>
      <c r="V33" s="504">
        <f t="shared" si="11"/>
        <v>1430</v>
      </c>
      <c r="W33" s="504"/>
      <c r="X33" s="504">
        <f t="shared" si="10"/>
        <v>11650</v>
      </c>
      <c r="Y33" s="507">
        <f t="shared" si="6"/>
        <v>3750</v>
      </c>
      <c r="Z33" s="379"/>
      <c r="AB33" s="187"/>
    </row>
    <row r="34" spans="1:63" s="38" customFormat="1" ht="39.75" customHeight="1">
      <c r="A34" s="505">
        <v>28</v>
      </c>
      <c r="B34" s="356" t="s">
        <v>57</v>
      </c>
      <c r="C34" s="504" t="s">
        <v>30</v>
      </c>
      <c r="D34" s="278">
        <v>10500</v>
      </c>
      <c r="E34" s="277">
        <v>30</v>
      </c>
      <c r="F34" s="277">
        <v>0</v>
      </c>
      <c r="G34" s="277">
        <f t="shared" si="9"/>
        <v>30</v>
      </c>
      <c r="H34" s="277">
        <v>10500</v>
      </c>
      <c r="I34" s="277">
        <v>2000</v>
      </c>
      <c r="J34" s="506">
        <v>2400</v>
      </c>
      <c r="K34" s="510"/>
      <c r="L34" s="506"/>
      <c r="M34" s="506"/>
      <c r="N34" s="504">
        <f t="shared" si="1"/>
        <v>14900</v>
      </c>
      <c r="O34" s="504">
        <f t="shared" si="2"/>
        <v>12900</v>
      </c>
      <c r="P34" s="504">
        <f t="shared" si="3"/>
        <v>2520</v>
      </c>
      <c r="Q34" s="435"/>
      <c r="R34" s="505">
        <v>100</v>
      </c>
      <c r="S34" s="435"/>
      <c r="T34" s="435"/>
      <c r="U34" s="504">
        <f t="shared" si="4"/>
        <v>735.00000000000011</v>
      </c>
      <c r="V34" s="504">
        <f t="shared" si="11"/>
        <v>1155</v>
      </c>
      <c r="W34" s="504"/>
      <c r="X34" s="504">
        <f t="shared" si="10"/>
        <v>3355</v>
      </c>
      <c r="Y34" s="507">
        <f t="shared" si="6"/>
        <v>11545</v>
      </c>
      <c r="Z34" s="260"/>
      <c r="AB34" s="39"/>
    </row>
    <row r="35" spans="1:63" s="79" customFormat="1" ht="39.75" customHeight="1">
      <c r="A35" s="505">
        <v>29</v>
      </c>
      <c r="B35" s="356" t="s">
        <v>59</v>
      </c>
      <c r="C35" s="504" t="s">
        <v>30</v>
      </c>
      <c r="D35" s="278">
        <v>9200</v>
      </c>
      <c r="E35" s="277">
        <v>30</v>
      </c>
      <c r="F35" s="277">
        <v>0</v>
      </c>
      <c r="G35" s="277">
        <v>30</v>
      </c>
      <c r="H35" s="277">
        <f t="shared" si="0"/>
        <v>9200</v>
      </c>
      <c r="I35" s="277"/>
      <c r="J35" s="506">
        <v>600</v>
      </c>
      <c r="K35" s="510"/>
      <c r="L35" s="506"/>
      <c r="M35" s="506"/>
      <c r="N35" s="504">
        <f t="shared" si="1"/>
        <v>9800</v>
      </c>
      <c r="O35" s="504">
        <f>H35</f>
        <v>9200</v>
      </c>
      <c r="P35" s="504">
        <f t="shared" si="3"/>
        <v>1450</v>
      </c>
      <c r="Q35" s="435"/>
      <c r="R35" s="505">
        <v>100</v>
      </c>
      <c r="S35" s="435">
        <v>4039</v>
      </c>
      <c r="T35" s="435"/>
      <c r="U35" s="504"/>
      <c r="V35" s="504"/>
      <c r="W35" s="504"/>
      <c r="X35" s="504">
        <f t="shared" si="10"/>
        <v>5589</v>
      </c>
      <c r="Y35" s="507">
        <f t="shared" si="6"/>
        <v>4211</v>
      </c>
      <c r="Z35" s="263"/>
      <c r="AB35" s="80"/>
    </row>
    <row r="36" spans="1:63" s="338" customFormat="1" ht="39.75" customHeight="1">
      <c r="A36" s="505">
        <v>30</v>
      </c>
      <c r="B36" s="356" t="s">
        <v>347</v>
      </c>
      <c r="C36" s="504" t="s">
        <v>30</v>
      </c>
      <c r="D36" s="278">
        <v>10000</v>
      </c>
      <c r="E36" s="277">
        <v>30</v>
      </c>
      <c r="F36" s="277">
        <v>0</v>
      </c>
      <c r="G36" s="277">
        <f t="shared" si="9"/>
        <v>30</v>
      </c>
      <c r="H36" s="277">
        <f t="shared" si="0"/>
        <v>10000</v>
      </c>
      <c r="I36" s="513"/>
      <c r="J36" s="506">
        <v>3900</v>
      </c>
      <c r="K36" s="516"/>
      <c r="L36" s="513"/>
      <c r="M36" s="513"/>
      <c r="N36" s="504">
        <f t="shared" si="1"/>
        <v>13900</v>
      </c>
      <c r="O36" s="504">
        <f t="shared" si="2"/>
        <v>13900</v>
      </c>
      <c r="P36" s="504">
        <f t="shared" si="3"/>
        <v>2820</v>
      </c>
      <c r="Q36" s="514"/>
      <c r="R36" s="505">
        <v>100</v>
      </c>
      <c r="S36" s="435">
        <v>5500</v>
      </c>
      <c r="T36" s="514"/>
      <c r="U36" s="509"/>
      <c r="V36" s="509"/>
      <c r="W36" s="509"/>
      <c r="X36" s="504">
        <f t="shared" si="10"/>
        <v>8420</v>
      </c>
      <c r="Y36" s="507">
        <f t="shared" si="6"/>
        <v>5480</v>
      </c>
      <c r="Z36" s="336"/>
      <c r="AB36" s="339"/>
    </row>
    <row r="37" spans="1:63" s="301" customFormat="1" ht="39.75" customHeight="1">
      <c r="A37" s="505">
        <v>31</v>
      </c>
      <c r="B37" s="356" t="s">
        <v>358</v>
      </c>
      <c r="C37" s="504" t="s">
        <v>30</v>
      </c>
      <c r="D37" s="278">
        <v>12500</v>
      </c>
      <c r="E37" s="277">
        <v>30</v>
      </c>
      <c r="F37" s="277">
        <v>0</v>
      </c>
      <c r="G37" s="277">
        <f t="shared" si="9"/>
        <v>30</v>
      </c>
      <c r="H37" s="277">
        <f t="shared" si="0"/>
        <v>12500</v>
      </c>
      <c r="I37" s="506"/>
      <c r="J37" s="506">
        <v>2100</v>
      </c>
      <c r="K37" s="508"/>
      <c r="L37" s="506"/>
      <c r="M37" s="506"/>
      <c r="N37" s="504">
        <f t="shared" si="1"/>
        <v>14600</v>
      </c>
      <c r="O37" s="504">
        <f t="shared" si="2"/>
        <v>14600</v>
      </c>
      <c r="P37" s="504">
        <f t="shared" si="3"/>
        <v>3060</v>
      </c>
      <c r="Q37" s="435"/>
      <c r="R37" s="505">
        <v>100</v>
      </c>
      <c r="S37" s="435"/>
      <c r="T37" s="435"/>
      <c r="U37" s="504"/>
      <c r="V37" s="504"/>
      <c r="W37" s="504"/>
      <c r="X37" s="504">
        <f t="shared" si="10"/>
        <v>3160</v>
      </c>
      <c r="Y37" s="507">
        <f t="shared" si="6"/>
        <v>11440</v>
      </c>
      <c r="Z37" s="263"/>
      <c r="AA37" s="79"/>
      <c r="AB37" s="80"/>
      <c r="AC37" s="79"/>
      <c r="AD37" s="79"/>
      <c r="AE37" s="79"/>
      <c r="AF37" s="79"/>
      <c r="AG37" s="79"/>
      <c r="AH37" s="79"/>
      <c r="AI37" s="79"/>
      <c r="AJ37" s="79"/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79"/>
      <c r="AV37" s="79"/>
      <c r="AW37" s="79"/>
      <c r="AX37" s="79"/>
      <c r="AY37" s="79"/>
      <c r="AZ37" s="79"/>
      <c r="BA37" s="79"/>
      <c r="BB37" s="79"/>
      <c r="BC37" s="79"/>
      <c r="BD37" s="79"/>
      <c r="BE37" s="79"/>
      <c r="BF37" s="79"/>
      <c r="BG37" s="79"/>
      <c r="BH37" s="79"/>
      <c r="BI37" s="79"/>
      <c r="BJ37" s="79"/>
      <c r="BK37" s="79"/>
    </row>
    <row r="38" spans="1:63" s="79" customFormat="1" ht="39.75" customHeight="1">
      <c r="A38" s="505">
        <v>32</v>
      </c>
      <c r="B38" s="356" t="s">
        <v>62</v>
      </c>
      <c r="C38" s="504" t="s">
        <v>30</v>
      </c>
      <c r="D38" s="278">
        <v>9000</v>
      </c>
      <c r="E38" s="277">
        <v>30</v>
      </c>
      <c r="F38" s="277">
        <v>0</v>
      </c>
      <c r="G38" s="277">
        <f t="shared" si="9"/>
        <v>30</v>
      </c>
      <c r="H38" s="277">
        <f t="shared" si="0"/>
        <v>9000</v>
      </c>
      <c r="I38" s="506"/>
      <c r="J38" s="506">
        <v>2400</v>
      </c>
      <c r="K38" s="508"/>
      <c r="L38" s="506"/>
      <c r="M38" s="506"/>
      <c r="N38" s="504">
        <f t="shared" si="1"/>
        <v>11400</v>
      </c>
      <c r="O38" s="504">
        <f t="shared" si="2"/>
        <v>11400</v>
      </c>
      <c r="P38" s="504">
        <f t="shared" si="3"/>
        <v>2070</v>
      </c>
      <c r="Q38" s="435"/>
      <c r="R38" s="505">
        <v>100</v>
      </c>
      <c r="S38" s="435"/>
      <c r="T38" s="514">
        <v>3540</v>
      </c>
      <c r="U38" s="504">
        <f>H38*0.07</f>
        <v>630.00000000000011</v>
      </c>
      <c r="V38" s="504">
        <f>H38*0.11</f>
        <v>990</v>
      </c>
      <c r="W38" s="504"/>
      <c r="X38" s="504">
        <f t="shared" si="10"/>
        <v>6340</v>
      </c>
      <c r="Y38" s="507">
        <f t="shared" si="6"/>
        <v>5060</v>
      </c>
      <c r="Z38" s="263"/>
      <c r="AB38" s="80"/>
    </row>
    <row r="39" spans="1:63" s="78" customFormat="1" ht="39.75" customHeight="1">
      <c r="A39" s="505">
        <v>33</v>
      </c>
      <c r="B39" s="356" t="s">
        <v>348</v>
      </c>
      <c r="C39" s="504" t="s">
        <v>30</v>
      </c>
      <c r="D39" s="278">
        <v>14000</v>
      </c>
      <c r="E39" s="277">
        <v>30</v>
      </c>
      <c r="F39" s="506">
        <v>0.5</v>
      </c>
      <c r="G39" s="506">
        <f t="shared" si="9"/>
        <v>29.5</v>
      </c>
      <c r="H39" s="277">
        <f t="shared" si="0"/>
        <v>13766.666666666668</v>
      </c>
      <c r="I39" s="277"/>
      <c r="J39" s="506">
        <v>600</v>
      </c>
      <c r="K39" s="510"/>
      <c r="L39" s="506"/>
      <c r="M39" s="506"/>
      <c r="N39" s="504">
        <f t="shared" si="1"/>
        <v>14366.666666666668</v>
      </c>
      <c r="O39" s="504">
        <f t="shared" si="2"/>
        <v>14366.666666666668</v>
      </c>
      <c r="P39" s="504">
        <f t="shared" si="3"/>
        <v>2978.333333333333</v>
      </c>
      <c r="Q39" s="435"/>
      <c r="R39" s="505">
        <v>100</v>
      </c>
      <c r="S39" s="505"/>
      <c r="T39" s="435"/>
      <c r="U39" s="504"/>
      <c r="V39" s="504"/>
      <c r="W39" s="504"/>
      <c r="X39" s="504">
        <f t="shared" si="10"/>
        <v>3078.333333333333</v>
      </c>
      <c r="Y39" s="507">
        <f t="shared" si="6"/>
        <v>11288.333333333336</v>
      </c>
      <c r="Z39" s="260"/>
      <c r="AA39" s="38"/>
      <c r="AB39" s="39"/>
      <c r="AC39" s="38"/>
      <c r="AD39" s="38"/>
      <c r="AE39" s="38"/>
      <c r="AF39" s="38"/>
      <c r="AG39" s="38"/>
      <c r="AH39" s="38"/>
      <c r="AI39" s="38"/>
      <c r="AJ39" s="38"/>
      <c r="AK39" s="38"/>
      <c r="AL39" s="38"/>
      <c r="AM39" s="38"/>
      <c r="AN39" s="38"/>
      <c r="AO39" s="38"/>
      <c r="AP39" s="38"/>
      <c r="AQ39" s="38"/>
      <c r="AR39" s="38"/>
      <c r="AS39" s="38"/>
      <c r="AT39" s="38"/>
      <c r="AU39" s="38"/>
      <c r="AV39" s="38"/>
      <c r="AW39" s="38"/>
      <c r="AX39" s="38"/>
      <c r="AY39" s="38"/>
      <c r="AZ39" s="38"/>
      <c r="BA39" s="38"/>
      <c r="BB39" s="38"/>
      <c r="BC39" s="38"/>
      <c r="BD39" s="38"/>
      <c r="BE39" s="38"/>
      <c r="BF39" s="38"/>
      <c r="BG39" s="38"/>
      <c r="BH39" s="38"/>
      <c r="BI39" s="38"/>
      <c r="BJ39" s="38"/>
      <c r="BK39" s="38"/>
    </row>
    <row r="40" spans="1:63" s="79" customFormat="1" ht="39.75" customHeight="1">
      <c r="A40" s="505">
        <v>34</v>
      </c>
      <c r="B40" s="356" t="s">
        <v>64</v>
      </c>
      <c r="C40" s="504" t="s">
        <v>30</v>
      </c>
      <c r="D40" s="278">
        <v>14478</v>
      </c>
      <c r="E40" s="277">
        <v>30</v>
      </c>
      <c r="F40" s="277">
        <v>0</v>
      </c>
      <c r="G40" s="277">
        <f t="shared" si="9"/>
        <v>30</v>
      </c>
      <c r="H40" s="277">
        <f t="shared" si="0"/>
        <v>14478</v>
      </c>
      <c r="I40" s="277"/>
      <c r="J40" s="506">
        <v>3300</v>
      </c>
      <c r="K40" s="510"/>
      <c r="L40" s="506"/>
      <c r="M40" s="506"/>
      <c r="N40" s="504">
        <f t="shared" si="1"/>
        <v>17778</v>
      </c>
      <c r="O40" s="504">
        <f t="shared" si="2"/>
        <v>17778</v>
      </c>
      <c r="P40" s="504">
        <f t="shared" si="3"/>
        <v>4172.2999999999993</v>
      </c>
      <c r="Q40" s="435"/>
      <c r="R40" s="505">
        <v>100</v>
      </c>
      <c r="S40" s="435">
        <f>5000+7000</f>
        <v>12000</v>
      </c>
      <c r="T40" s="435"/>
      <c r="U40" s="504"/>
      <c r="V40" s="504"/>
      <c r="W40" s="504"/>
      <c r="X40" s="504">
        <f t="shared" si="10"/>
        <v>16272.3</v>
      </c>
      <c r="Y40" s="507">
        <f t="shared" si="6"/>
        <v>1505.7000000000007</v>
      </c>
      <c r="Z40" s="263"/>
      <c r="AB40" s="80"/>
    </row>
    <row r="41" spans="1:63" s="78" customFormat="1" ht="39.75" customHeight="1">
      <c r="A41" s="505">
        <v>35</v>
      </c>
      <c r="B41" s="356" t="s">
        <v>65</v>
      </c>
      <c r="C41" s="504" t="s">
        <v>30</v>
      </c>
      <c r="D41" s="278">
        <v>10500</v>
      </c>
      <c r="E41" s="277">
        <v>30</v>
      </c>
      <c r="F41" s="277">
        <v>0</v>
      </c>
      <c r="G41" s="277">
        <f t="shared" si="9"/>
        <v>30</v>
      </c>
      <c r="H41" s="277">
        <f t="shared" si="0"/>
        <v>10500</v>
      </c>
      <c r="I41" s="277"/>
      <c r="J41" s="506">
        <v>2400</v>
      </c>
      <c r="K41" s="510"/>
      <c r="L41" s="506"/>
      <c r="M41" s="506"/>
      <c r="N41" s="504">
        <f t="shared" si="1"/>
        <v>12900</v>
      </c>
      <c r="O41" s="504">
        <f>H41</f>
        <v>10500</v>
      </c>
      <c r="P41" s="504">
        <f t="shared" si="3"/>
        <v>1800</v>
      </c>
      <c r="Q41" s="435"/>
      <c r="R41" s="505">
        <v>100</v>
      </c>
      <c r="S41" s="505"/>
      <c r="T41" s="435"/>
      <c r="U41" s="504">
        <f t="shared" ref="U41:U46" si="12">H41*0.07</f>
        <v>735.00000000000011</v>
      </c>
      <c r="V41" s="504">
        <f t="shared" ref="V41:V52" si="13">H41*0.11</f>
        <v>1155</v>
      </c>
      <c r="W41" s="504"/>
      <c r="X41" s="504">
        <f t="shared" si="10"/>
        <v>2635</v>
      </c>
      <c r="Y41" s="507">
        <f t="shared" si="6"/>
        <v>10265</v>
      </c>
      <c r="Z41" s="260"/>
      <c r="AA41" s="38"/>
      <c r="AB41" s="39"/>
      <c r="AC41" s="38"/>
      <c r="AD41" s="38"/>
      <c r="AE41" s="38"/>
      <c r="AF41" s="38"/>
      <c r="AG41" s="38"/>
      <c r="AH41" s="38"/>
      <c r="AI41" s="38"/>
      <c r="AJ41" s="38"/>
      <c r="AK41" s="38"/>
      <c r="AL41" s="38"/>
      <c r="AM41" s="38"/>
      <c r="AN41" s="38"/>
      <c r="AO41" s="38"/>
      <c r="AP41" s="38"/>
      <c r="AQ41" s="38"/>
      <c r="AR41" s="38"/>
      <c r="AS41" s="38"/>
      <c r="AT41" s="38"/>
      <c r="AU41" s="38"/>
      <c r="AV41" s="38"/>
      <c r="AW41" s="38"/>
      <c r="AX41" s="38"/>
      <c r="AY41" s="38"/>
      <c r="AZ41" s="38"/>
      <c r="BA41" s="38"/>
      <c r="BB41" s="38"/>
      <c r="BC41" s="38"/>
      <c r="BD41" s="38"/>
      <c r="BE41" s="38"/>
      <c r="BF41" s="38"/>
      <c r="BG41" s="38"/>
      <c r="BH41" s="38"/>
      <c r="BI41" s="38"/>
      <c r="BJ41" s="38"/>
      <c r="BK41" s="38"/>
    </row>
    <row r="42" spans="1:63" s="79" customFormat="1" ht="39.75" customHeight="1">
      <c r="A42" s="505">
        <v>36</v>
      </c>
      <c r="B42" s="356" t="s">
        <v>66</v>
      </c>
      <c r="C42" s="504" t="s">
        <v>30</v>
      </c>
      <c r="D42" s="278">
        <v>11500</v>
      </c>
      <c r="E42" s="277">
        <v>30</v>
      </c>
      <c r="F42" s="277">
        <v>0</v>
      </c>
      <c r="G42" s="277">
        <f t="shared" si="9"/>
        <v>30</v>
      </c>
      <c r="H42" s="277">
        <f t="shared" si="0"/>
        <v>11500</v>
      </c>
      <c r="I42" s="506"/>
      <c r="J42" s="506">
        <v>3300</v>
      </c>
      <c r="K42" s="508"/>
      <c r="L42" s="506"/>
      <c r="M42" s="506"/>
      <c r="N42" s="504">
        <f t="shared" si="1"/>
        <v>14800</v>
      </c>
      <c r="O42" s="504">
        <f t="shared" si="2"/>
        <v>14800</v>
      </c>
      <c r="P42" s="504">
        <f t="shared" si="3"/>
        <v>3130</v>
      </c>
      <c r="Q42" s="435"/>
      <c r="R42" s="505">
        <v>100</v>
      </c>
      <c r="S42" s="435"/>
      <c r="T42" s="514">
        <v>1000</v>
      </c>
      <c r="U42" s="504">
        <f t="shared" si="12"/>
        <v>805.00000000000011</v>
      </c>
      <c r="V42" s="504">
        <f t="shared" si="13"/>
        <v>1265</v>
      </c>
      <c r="W42" s="504"/>
      <c r="X42" s="504">
        <f t="shared" si="10"/>
        <v>5035</v>
      </c>
      <c r="Y42" s="507">
        <f t="shared" si="6"/>
        <v>9765</v>
      </c>
      <c r="Z42" s="263"/>
      <c r="AB42" s="80"/>
    </row>
    <row r="43" spans="1:63" s="38" customFormat="1" ht="39.75" customHeight="1">
      <c r="A43" s="505">
        <v>37</v>
      </c>
      <c r="B43" s="356" t="s">
        <v>67</v>
      </c>
      <c r="C43" s="504" t="s">
        <v>30</v>
      </c>
      <c r="D43" s="278">
        <v>7500</v>
      </c>
      <c r="E43" s="277">
        <v>30</v>
      </c>
      <c r="F43" s="277">
        <v>0</v>
      </c>
      <c r="G43" s="277">
        <f t="shared" si="9"/>
        <v>30</v>
      </c>
      <c r="H43" s="277">
        <f t="shared" si="0"/>
        <v>7500</v>
      </c>
      <c r="I43" s="277"/>
      <c r="J43" s="506"/>
      <c r="K43" s="510"/>
      <c r="L43" s="506"/>
      <c r="M43" s="506"/>
      <c r="N43" s="504">
        <f t="shared" si="1"/>
        <v>7500</v>
      </c>
      <c r="O43" s="504">
        <f t="shared" si="2"/>
        <v>7500</v>
      </c>
      <c r="P43" s="504">
        <f t="shared" si="3"/>
        <v>1025</v>
      </c>
      <c r="Q43" s="435"/>
      <c r="R43" s="505">
        <v>100</v>
      </c>
      <c r="S43" s="505"/>
      <c r="T43" s="435"/>
      <c r="U43" s="504">
        <f t="shared" si="12"/>
        <v>525</v>
      </c>
      <c r="V43" s="504">
        <f t="shared" si="13"/>
        <v>825</v>
      </c>
      <c r="W43" s="504"/>
      <c r="X43" s="504">
        <f t="shared" si="10"/>
        <v>1650</v>
      </c>
      <c r="Y43" s="507">
        <f t="shared" si="6"/>
        <v>5850</v>
      </c>
      <c r="Z43" s="260"/>
      <c r="AB43" s="39"/>
    </row>
    <row r="44" spans="1:63" s="197" customFormat="1" ht="39.75" customHeight="1">
      <c r="A44" s="505">
        <v>38</v>
      </c>
      <c r="B44" s="357" t="s">
        <v>68</v>
      </c>
      <c r="C44" s="504" t="s">
        <v>69</v>
      </c>
      <c r="D44" s="278">
        <v>11000</v>
      </c>
      <c r="E44" s="277">
        <v>30</v>
      </c>
      <c r="F44" s="277">
        <v>0</v>
      </c>
      <c r="G44" s="277">
        <f t="shared" si="9"/>
        <v>30</v>
      </c>
      <c r="H44" s="277">
        <f t="shared" si="0"/>
        <v>11000</v>
      </c>
      <c r="I44" s="277"/>
      <c r="J44" s="506">
        <v>2400</v>
      </c>
      <c r="K44" s="510"/>
      <c r="L44" s="506"/>
      <c r="M44" s="506"/>
      <c r="N44" s="504">
        <f t="shared" si="1"/>
        <v>13400</v>
      </c>
      <c r="O44" s="504">
        <f t="shared" si="2"/>
        <v>13400</v>
      </c>
      <c r="P44" s="504">
        <f t="shared" si="3"/>
        <v>2670</v>
      </c>
      <c r="Q44" s="435"/>
      <c r="R44" s="505">
        <v>100</v>
      </c>
      <c r="S44" s="435"/>
      <c r="T44" s="435"/>
      <c r="U44" s="504">
        <f t="shared" si="12"/>
        <v>770.00000000000011</v>
      </c>
      <c r="V44" s="504">
        <f t="shared" si="13"/>
        <v>1210</v>
      </c>
      <c r="W44" s="504"/>
      <c r="X44" s="504">
        <f t="shared" si="10"/>
        <v>3540</v>
      </c>
      <c r="Y44" s="507">
        <f t="shared" ref="Y44:Y52" si="14">N44-X44</f>
        <v>9860</v>
      </c>
      <c r="Z44" s="263"/>
      <c r="AA44" s="162"/>
      <c r="AB44" s="195"/>
      <c r="AC44" s="162"/>
      <c r="AD44" s="162"/>
      <c r="AE44" s="162"/>
      <c r="AF44" s="162"/>
      <c r="AG44" s="162"/>
      <c r="AH44" s="162"/>
      <c r="AI44" s="162"/>
      <c r="AJ44" s="162"/>
      <c r="AK44" s="162"/>
      <c r="AL44" s="162"/>
      <c r="AM44" s="162"/>
      <c r="AN44" s="162"/>
      <c r="AO44" s="162"/>
      <c r="AP44" s="162"/>
      <c r="AQ44" s="162"/>
      <c r="AR44" s="162"/>
      <c r="AS44" s="162"/>
      <c r="AT44" s="162"/>
      <c r="AU44" s="162"/>
      <c r="AV44" s="162"/>
      <c r="AW44" s="162"/>
      <c r="AX44" s="162"/>
      <c r="AY44" s="162"/>
      <c r="AZ44" s="162"/>
      <c r="BA44" s="162"/>
      <c r="BB44" s="162"/>
      <c r="BC44" s="162"/>
      <c r="BD44" s="162"/>
      <c r="BE44" s="162"/>
      <c r="BF44" s="162"/>
      <c r="BG44" s="162"/>
      <c r="BH44" s="162"/>
      <c r="BI44" s="162"/>
      <c r="BJ44" s="162"/>
      <c r="BK44" s="162"/>
    </row>
    <row r="45" spans="1:63" s="125" customFormat="1" ht="39.75" customHeight="1">
      <c r="A45" s="505">
        <v>39</v>
      </c>
      <c r="B45" s="357" t="s">
        <v>189</v>
      </c>
      <c r="C45" s="504" t="s">
        <v>69</v>
      </c>
      <c r="D45" s="278">
        <v>10100</v>
      </c>
      <c r="E45" s="277">
        <v>30</v>
      </c>
      <c r="F45" s="277">
        <v>0</v>
      </c>
      <c r="G45" s="277">
        <f t="shared" si="9"/>
        <v>30</v>
      </c>
      <c r="H45" s="277">
        <f t="shared" si="0"/>
        <v>10100</v>
      </c>
      <c r="I45" s="277"/>
      <c r="J45" s="506">
        <v>2400</v>
      </c>
      <c r="K45" s="510"/>
      <c r="L45" s="506"/>
      <c r="M45" s="506"/>
      <c r="N45" s="504">
        <f t="shared" si="1"/>
        <v>12500</v>
      </c>
      <c r="O45" s="504">
        <f t="shared" si="2"/>
        <v>12500</v>
      </c>
      <c r="P45" s="504">
        <f t="shared" si="3"/>
        <v>2400</v>
      </c>
      <c r="Q45" s="435"/>
      <c r="R45" s="505">
        <v>100</v>
      </c>
      <c r="S45" s="505"/>
      <c r="T45" s="435"/>
      <c r="U45" s="504">
        <f t="shared" si="12"/>
        <v>707.00000000000011</v>
      </c>
      <c r="V45" s="504">
        <f t="shared" si="13"/>
        <v>1111</v>
      </c>
      <c r="W45" s="504"/>
      <c r="X45" s="504">
        <f t="shared" si="10"/>
        <v>3207</v>
      </c>
      <c r="Y45" s="507">
        <f t="shared" si="14"/>
        <v>9293</v>
      </c>
      <c r="Z45" s="260"/>
      <c r="AA45" s="122"/>
      <c r="AB45" s="123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2"/>
      <c r="AN45" s="122"/>
      <c r="AO45" s="122"/>
      <c r="AP45" s="122"/>
      <c r="AQ45" s="122"/>
      <c r="AR45" s="122"/>
      <c r="AS45" s="122"/>
      <c r="AT45" s="122"/>
      <c r="AU45" s="122"/>
      <c r="AV45" s="122"/>
      <c r="AW45" s="122"/>
      <c r="AX45" s="122"/>
      <c r="AY45" s="122"/>
      <c r="AZ45" s="122"/>
      <c r="BA45" s="122"/>
      <c r="BB45" s="122"/>
      <c r="BC45" s="122"/>
      <c r="BD45" s="122"/>
      <c r="BE45" s="122"/>
      <c r="BF45" s="122"/>
      <c r="BG45" s="122"/>
      <c r="BH45" s="122"/>
      <c r="BI45" s="122"/>
      <c r="BJ45" s="122"/>
      <c r="BK45" s="122"/>
    </row>
    <row r="46" spans="1:63" s="162" customFormat="1" ht="39.75" customHeight="1">
      <c r="A46" s="505">
        <v>40</v>
      </c>
      <c r="B46" s="357" t="s">
        <v>190</v>
      </c>
      <c r="C46" s="504" t="s">
        <v>69</v>
      </c>
      <c r="D46" s="278">
        <v>12500</v>
      </c>
      <c r="E46" s="277">
        <v>30</v>
      </c>
      <c r="F46" s="506">
        <v>1</v>
      </c>
      <c r="G46" s="506">
        <f t="shared" si="9"/>
        <v>29</v>
      </c>
      <c r="H46" s="277">
        <v>12083.33</v>
      </c>
      <c r="I46" s="506"/>
      <c r="J46" s="506">
        <v>2100</v>
      </c>
      <c r="K46" s="508"/>
      <c r="L46" s="506"/>
      <c r="M46" s="506"/>
      <c r="N46" s="504">
        <f t="shared" si="1"/>
        <v>14183.33</v>
      </c>
      <c r="O46" s="504">
        <f>H46</f>
        <v>12083.33</v>
      </c>
      <c r="P46" s="504">
        <f t="shared" si="3"/>
        <v>2274.9989999999998</v>
      </c>
      <c r="Q46" s="435"/>
      <c r="R46" s="505">
        <v>100</v>
      </c>
      <c r="S46" s="435">
        <v>2156</v>
      </c>
      <c r="T46" s="514">
        <v>1000</v>
      </c>
      <c r="U46" s="504">
        <f t="shared" si="12"/>
        <v>845.83310000000006</v>
      </c>
      <c r="V46" s="504">
        <f t="shared" si="13"/>
        <v>1329.1663000000001</v>
      </c>
      <c r="W46" s="504"/>
      <c r="X46" s="504">
        <f t="shared" si="10"/>
        <v>6376.8320999999996</v>
      </c>
      <c r="Y46" s="507">
        <f t="shared" si="14"/>
        <v>7806.4979000000003</v>
      </c>
      <c r="Z46" s="263"/>
      <c r="AB46" s="195"/>
    </row>
    <row r="47" spans="1:63" s="124" customFormat="1" ht="39.75" customHeight="1">
      <c r="A47" s="505">
        <v>41</v>
      </c>
      <c r="B47" s="357" t="s">
        <v>243</v>
      </c>
      <c r="C47" s="504" t="s">
        <v>69</v>
      </c>
      <c r="D47" s="278">
        <v>11000</v>
      </c>
      <c r="E47" s="277">
        <v>30</v>
      </c>
      <c r="F47" s="277">
        <v>0</v>
      </c>
      <c r="G47" s="277">
        <f t="shared" si="9"/>
        <v>30</v>
      </c>
      <c r="H47" s="277">
        <f t="shared" si="0"/>
        <v>11000</v>
      </c>
      <c r="I47" s="277">
        <v>600</v>
      </c>
      <c r="J47" s="506">
        <v>900</v>
      </c>
      <c r="K47" s="277"/>
      <c r="L47" s="506"/>
      <c r="M47" s="506"/>
      <c r="N47" s="504">
        <f t="shared" si="1"/>
        <v>12500</v>
      </c>
      <c r="O47" s="504">
        <f>H47</f>
        <v>11000</v>
      </c>
      <c r="P47" s="504">
        <f t="shared" si="3"/>
        <v>1950</v>
      </c>
      <c r="Q47" s="435"/>
      <c r="R47" s="505">
        <v>100</v>
      </c>
      <c r="S47" s="505"/>
      <c r="T47" s="505"/>
      <c r="U47" s="504"/>
      <c r="V47" s="504"/>
      <c r="W47" s="504"/>
      <c r="X47" s="504">
        <f t="shared" si="10"/>
        <v>2050</v>
      </c>
      <c r="Y47" s="507">
        <f t="shared" si="14"/>
        <v>10450</v>
      </c>
      <c r="Z47" s="260"/>
      <c r="AA47" s="122"/>
      <c r="AB47" s="123"/>
      <c r="AC47" s="122"/>
      <c r="AD47" s="122"/>
      <c r="AE47" s="122"/>
      <c r="AF47" s="122"/>
      <c r="AG47" s="122"/>
      <c r="AH47" s="122"/>
      <c r="AI47" s="122"/>
      <c r="AJ47" s="122"/>
      <c r="AK47" s="122"/>
      <c r="AL47" s="122"/>
      <c r="AM47" s="122"/>
      <c r="AN47" s="122"/>
      <c r="AO47" s="122"/>
      <c r="AP47" s="122"/>
      <c r="AQ47" s="146"/>
      <c r="AR47" s="145"/>
      <c r="AS47" s="145"/>
      <c r="AT47" s="145"/>
      <c r="AU47" s="145"/>
      <c r="AV47" s="145"/>
      <c r="AW47" s="145"/>
      <c r="AX47" s="145"/>
      <c r="AY47" s="145"/>
      <c r="AZ47" s="145"/>
      <c r="BA47" s="145"/>
      <c r="BB47" s="145"/>
      <c r="BC47" s="145"/>
      <c r="BD47" s="145"/>
      <c r="BE47" s="145"/>
      <c r="BF47" s="145"/>
      <c r="BG47" s="145"/>
      <c r="BH47" s="145"/>
      <c r="BI47" s="145"/>
      <c r="BJ47" s="145"/>
      <c r="BK47" s="145"/>
    </row>
    <row r="48" spans="1:63" s="145" customFormat="1" ht="39.75" customHeight="1">
      <c r="A48" s="505">
        <v>42</v>
      </c>
      <c r="B48" s="357" t="s">
        <v>244</v>
      </c>
      <c r="C48" s="504" t="s">
        <v>69</v>
      </c>
      <c r="D48" s="278">
        <v>11000</v>
      </c>
      <c r="E48" s="277">
        <v>30</v>
      </c>
      <c r="F48" s="277">
        <v>0</v>
      </c>
      <c r="G48" s="277">
        <f t="shared" si="9"/>
        <v>30</v>
      </c>
      <c r="H48" s="277">
        <f t="shared" si="0"/>
        <v>11000</v>
      </c>
      <c r="I48" s="277">
        <v>600</v>
      </c>
      <c r="J48" s="506">
        <v>2400</v>
      </c>
      <c r="K48" s="504"/>
      <c r="L48" s="506"/>
      <c r="M48" s="506"/>
      <c r="N48" s="504">
        <f t="shared" si="1"/>
        <v>14000</v>
      </c>
      <c r="O48" s="504">
        <f t="shared" si="2"/>
        <v>13400</v>
      </c>
      <c r="P48" s="504">
        <f t="shared" si="3"/>
        <v>2670</v>
      </c>
      <c r="Q48" s="435"/>
      <c r="R48" s="505">
        <v>100</v>
      </c>
      <c r="S48" s="435"/>
      <c r="T48" s="435"/>
      <c r="U48" s="504"/>
      <c r="V48" s="504"/>
      <c r="W48" s="504"/>
      <c r="X48" s="504">
        <f t="shared" si="10"/>
        <v>2770</v>
      </c>
      <c r="Y48" s="507">
        <f t="shared" si="14"/>
        <v>11230</v>
      </c>
      <c r="Z48" s="260"/>
      <c r="AA48" s="122"/>
      <c r="AB48" s="123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2"/>
      <c r="AN48" s="122"/>
      <c r="AO48" s="122"/>
      <c r="AP48" s="122"/>
      <c r="AQ48" s="146"/>
    </row>
    <row r="49" spans="1:63" s="197" customFormat="1" ht="39.75" customHeight="1">
      <c r="A49" s="505">
        <v>43</v>
      </c>
      <c r="B49" s="357" t="s">
        <v>245</v>
      </c>
      <c r="C49" s="504" t="s">
        <v>69</v>
      </c>
      <c r="D49" s="278">
        <v>14400</v>
      </c>
      <c r="E49" s="277">
        <v>30</v>
      </c>
      <c r="F49" s="277">
        <v>0</v>
      </c>
      <c r="G49" s="277">
        <f t="shared" si="9"/>
        <v>30</v>
      </c>
      <c r="H49" s="277">
        <f t="shared" si="0"/>
        <v>14400</v>
      </c>
      <c r="I49" s="277">
        <v>600</v>
      </c>
      <c r="J49" s="506">
        <v>2400</v>
      </c>
      <c r="K49" s="506"/>
      <c r="L49" s="506"/>
      <c r="M49" s="506"/>
      <c r="N49" s="504">
        <f t="shared" si="1"/>
        <v>17400</v>
      </c>
      <c r="O49" s="504">
        <f t="shared" si="2"/>
        <v>16800</v>
      </c>
      <c r="P49" s="504">
        <f t="shared" si="3"/>
        <v>3830</v>
      </c>
      <c r="Q49" s="435">
        <v>2500</v>
      </c>
      <c r="R49" s="505">
        <v>100</v>
      </c>
      <c r="S49" s="435"/>
      <c r="T49" s="514">
        <v>1650</v>
      </c>
      <c r="U49" s="504">
        <f>H49*0.07</f>
        <v>1008.0000000000001</v>
      </c>
      <c r="V49" s="504">
        <f t="shared" si="13"/>
        <v>1584</v>
      </c>
      <c r="W49" s="504"/>
      <c r="X49" s="504">
        <f t="shared" si="10"/>
        <v>9088</v>
      </c>
      <c r="Y49" s="507">
        <f t="shared" si="14"/>
        <v>8312</v>
      </c>
      <c r="Z49" s="263"/>
      <c r="AA49" s="162"/>
      <c r="AB49" s="195"/>
      <c r="AC49" s="162"/>
      <c r="AD49" s="162"/>
      <c r="AE49" s="162"/>
      <c r="AF49" s="162"/>
      <c r="AG49" s="162"/>
      <c r="AH49" s="162"/>
      <c r="AI49" s="162"/>
      <c r="AJ49" s="162"/>
      <c r="AK49" s="162"/>
      <c r="AL49" s="162"/>
      <c r="AM49" s="162"/>
      <c r="AN49" s="162"/>
      <c r="AO49" s="162"/>
      <c r="AP49" s="162"/>
      <c r="AQ49" s="196"/>
    </row>
    <row r="50" spans="1:63" s="124" customFormat="1" ht="39.75" customHeight="1">
      <c r="A50" s="505">
        <v>44</v>
      </c>
      <c r="B50" s="357" t="s">
        <v>246</v>
      </c>
      <c r="C50" s="504" t="s">
        <v>69</v>
      </c>
      <c r="D50" s="278">
        <v>14400</v>
      </c>
      <c r="E50" s="277">
        <v>30</v>
      </c>
      <c r="F50" s="277">
        <v>0</v>
      </c>
      <c r="G50" s="277">
        <f t="shared" si="9"/>
        <v>30</v>
      </c>
      <c r="H50" s="277">
        <f t="shared" si="0"/>
        <v>14400</v>
      </c>
      <c r="I50" s="277">
        <v>600</v>
      </c>
      <c r="J50" s="506">
        <v>2400</v>
      </c>
      <c r="K50" s="277"/>
      <c r="L50" s="506"/>
      <c r="M50" s="506"/>
      <c r="N50" s="504">
        <f t="shared" si="1"/>
        <v>17400</v>
      </c>
      <c r="O50" s="504">
        <f t="shared" si="2"/>
        <v>16800</v>
      </c>
      <c r="P50" s="504">
        <f t="shared" si="3"/>
        <v>3830</v>
      </c>
      <c r="Q50" s="435"/>
      <c r="R50" s="505">
        <v>100</v>
      </c>
      <c r="S50" s="505"/>
      <c r="T50" s="435"/>
      <c r="U50" s="504">
        <f t="shared" ref="U50:U58" si="15">H50*0.07</f>
        <v>1008.0000000000001</v>
      </c>
      <c r="V50" s="504">
        <f t="shared" si="13"/>
        <v>1584</v>
      </c>
      <c r="W50" s="504"/>
      <c r="X50" s="504">
        <f t="shared" si="10"/>
        <v>4938</v>
      </c>
      <c r="Y50" s="507">
        <f t="shared" si="14"/>
        <v>12462</v>
      </c>
      <c r="Z50" s="260"/>
      <c r="AA50" s="122"/>
      <c r="AB50" s="123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2"/>
      <c r="AN50" s="122"/>
      <c r="AO50" s="122"/>
      <c r="AP50" s="122"/>
      <c r="AQ50" s="146"/>
      <c r="AR50" s="145"/>
      <c r="AS50" s="145"/>
      <c r="AT50" s="145"/>
      <c r="AU50" s="145"/>
      <c r="AV50" s="145"/>
      <c r="AW50" s="145"/>
      <c r="AX50" s="145"/>
      <c r="AY50" s="145"/>
      <c r="AZ50" s="145"/>
      <c r="BA50" s="145"/>
      <c r="BB50" s="145"/>
      <c r="BC50" s="145"/>
      <c r="BD50" s="145"/>
      <c r="BE50" s="145"/>
      <c r="BF50" s="145"/>
      <c r="BG50" s="145"/>
      <c r="BH50" s="145"/>
      <c r="BI50" s="145"/>
      <c r="BJ50" s="145"/>
      <c r="BK50" s="145"/>
    </row>
    <row r="51" spans="1:63" s="197" customFormat="1" ht="39.75" customHeight="1">
      <c r="A51" s="505">
        <v>45</v>
      </c>
      <c r="B51" s="357" t="s">
        <v>247</v>
      </c>
      <c r="C51" s="504" t="s">
        <v>69</v>
      </c>
      <c r="D51" s="278">
        <v>11000</v>
      </c>
      <c r="E51" s="277">
        <v>30</v>
      </c>
      <c r="F51" s="277">
        <v>0</v>
      </c>
      <c r="G51" s="277">
        <f t="shared" si="9"/>
        <v>30</v>
      </c>
      <c r="H51" s="277">
        <f t="shared" si="0"/>
        <v>11000</v>
      </c>
      <c r="I51" s="277">
        <v>600</v>
      </c>
      <c r="J51" s="506">
        <v>2400</v>
      </c>
      <c r="K51" s="506"/>
      <c r="L51" s="506"/>
      <c r="M51" s="506"/>
      <c r="N51" s="504">
        <f t="shared" si="1"/>
        <v>14000</v>
      </c>
      <c r="O51" s="504">
        <f t="shared" si="2"/>
        <v>13400</v>
      </c>
      <c r="P51" s="504">
        <f t="shared" si="3"/>
        <v>2670</v>
      </c>
      <c r="Q51" s="435"/>
      <c r="R51" s="505">
        <v>100</v>
      </c>
      <c r="S51" s="435"/>
      <c r="T51" s="435"/>
      <c r="U51" s="504">
        <f t="shared" si="15"/>
        <v>770.00000000000011</v>
      </c>
      <c r="V51" s="504">
        <f t="shared" si="13"/>
        <v>1210</v>
      </c>
      <c r="W51" s="504"/>
      <c r="X51" s="504">
        <f t="shared" si="10"/>
        <v>3540</v>
      </c>
      <c r="Y51" s="507">
        <f t="shared" si="14"/>
        <v>10460</v>
      </c>
      <c r="Z51" s="263"/>
      <c r="AA51" s="162"/>
      <c r="AB51" s="195"/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M51" s="162"/>
      <c r="AN51" s="162"/>
      <c r="AO51" s="162"/>
      <c r="AP51" s="162"/>
      <c r="AQ51" s="196"/>
    </row>
    <row r="52" spans="1:63" s="155" customFormat="1" ht="39.75" customHeight="1">
      <c r="A52" s="505">
        <v>46</v>
      </c>
      <c r="B52" s="357" t="s">
        <v>248</v>
      </c>
      <c r="C52" s="504" t="s">
        <v>69</v>
      </c>
      <c r="D52" s="278">
        <v>11000</v>
      </c>
      <c r="E52" s="277">
        <v>30</v>
      </c>
      <c r="F52" s="277">
        <v>0</v>
      </c>
      <c r="G52" s="277">
        <f t="shared" si="9"/>
        <v>30</v>
      </c>
      <c r="H52" s="277">
        <f t="shared" si="0"/>
        <v>11000</v>
      </c>
      <c r="I52" s="277">
        <v>600</v>
      </c>
      <c r="J52" s="506">
        <v>3300</v>
      </c>
      <c r="K52" s="277"/>
      <c r="L52" s="506"/>
      <c r="M52" s="506"/>
      <c r="N52" s="504">
        <f t="shared" si="1"/>
        <v>14900</v>
      </c>
      <c r="O52" s="504">
        <f t="shared" si="2"/>
        <v>14300</v>
      </c>
      <c r="P52" s="504">
        <f t="shared" si="3"/>
        <v>2955</v>
      </c>
      <c r="Q52" s="435"/>
      <c r="R52" s="505">
        <v>100</v>
      </c>
      <c r="S52" s="505"/>
      <c r="T52" s="435"/>
      <c r="U52" s="504">
        <f t="shared" si="15"/>
        <v>770.00000000000011</v>
      </c>
      <c r="V52" s="504">
        <f t="shared" si="13"/>
        <v>1210</v>
      </c>
      <c r="W52" s="504"/>
      <c r="X52" s="504">
        <f t="shared" si="10"/>
        <v>3825</v>
      </c>
      <c r="Y52" s="507">
        <f t="shared" si="14"/>
        <v>11075</v>
      </c>
      <c r="Z52" s="260"/>
    </row>
    <row r="53" spans="1:63" s="156" customFormat="1" ht="39.75" customHeight="1">
      <c r="A53" s="505">
        <v>47</v>
      </c>
      <c r="B53" s="357" t="s">
        <v>444</v>
      </c>
      <c r="C53" s="504" t="s">
        <v>69</v>
      </c>
      <c r="D53" s="278">
        <v>11000</v>
      </c>
      <c r="E53" s="277">
        <v>30</v>
      </c>
      <c r="F53" s="277">
        <v>0</v>
      </c>
      <c r="G53" s="277">
        <f t="shared" si="9"/>
        <v>30</v>
      </c>
      <c r="H53" s="277">
        <f t="shared" si="0"/>
        <v>11000</v>
      </c>
      <c r="I53" s="277">
        <v>600</v>
      </c>
      <c r="J53" s="506">
        <v>2400</v>
      </c>
      <c r="K53" s="277"/>
      <c r="L53" s="506"/>
      <c r="M53" s="506"/>
      <c r="N53" s="504">
        <f t="shared" si="1"/>
        <v>14000</v>
      </c>
      <c r="O53" s="504">
        <f t="shared" si="2"/>
        <v>13400</v>
      </c>
      <c r="P53" s="504">
        <f t="shared" si="3"/>
        <v>2670</v>
      </c>
      <c r="Q53" s="435"/>
      <c r="R53" s="505">
        <v>100</v>
      </c>
      <c r="S53" s="505"/>
      <c r="T53" s="435"/>
      <c r="U53" s="504"/>
      <c r="V53" s="504"/>
      <c r="W53" s="504"/>
      <c r="X53" s="504">
        <f t="shared" si="10"/>
        <v>2770</v>
      </c>
      <c r="Y53" s="507">
        <f t="shared" ref="Y53:Y58" si="16">N53-X53</f>
        <v>11230</v>
      </c>
      <c r="Z53" s="260"/>
    </row>
    <row r="54" spans="1:63" s="312" customFormat="1" ht="39.75" customHeight="1">
      <c r="A54" s="505">
        <v>48</v>
      </c>
      <c r="B54" s="357" t="s">
        <v>249</v>
      </c>
      <c r="C54" s="504" t="s">
        <v>69</v>
      </c>
      <c r="D54" s="278">
        <v>11000</v>
      </c>
      <c r="E54" s="277">
        <v>30</v>
      </c>
      <c r="F54" s="277">
        <v>0</v>
      </c>
      <c r="G54" s="277">
        <f t="shared" si="9"/>
        <v>30</v>
      </c>
      <c r="H54" s="277">
        <f t="shared" si="0"/>
        <v>11000</v>
      </c>
      <c r="I54" s="277">
        <v>600</v>
      </c>
      <c r="J54" s="506">
        <v>600</v>
      </c>
      <c r="K54" s="506"/>
      <c r="L54" s="506"/>
      <c r="M54" s="506"/>
      <c r="N54" s="504">
        <f t="shared" si="1"/>
        <v>12200</v>
      </c>
      <c r="O54" s="504">
        <f t="shared" si="2"/>
        <v>11600</v>
      </c>
      <c r="P54" s="504">
        <f t="shared" si="3"/>
        <v>2130</v>
      </c>
      <c r="Q54" s="435"/>
      <c r="R54" s="505">
        <v>100</v>
      </c>
      <c r="S54" s="435"/>
      <c r="T54" s="514">
        <v>1900</v>
      </c>
      <c r="U54" s="504"/>
      <c r="V54" s="504"/>
      <c r="W54" s="504"/>
      <c r="X54" s="504">
        <f t="shared" si="10"/>
        <v>4130</v>
      </c>
      <c r="Y54" s="507">
        <f t="shared" si="16"/>
        <v>8070</v>
      </c>
      <c r="Z54" s="263"/>
      <c r="AA54" s="372"/>
    </row>
    <row r="55" spans="1:63" s="191" customFormat="1" ht="39.75" customHeight="1">
      <c r="A55" s="505">
        <v>49</v>
      </c>
      <c r="B55" s="357" t="s">
        <v>344</v>
      </c>
      <c r="C55" s="504" t="s">
        <v>69</v>
      </c>
      <c r="D55" s="278">
        <v>11000</v>
      </c>
      <c r="E55" s="277">
        <v>30</v>
      </c>
      <c r="F55" s="277">
        <v>0</v>
      </c>
      <c r="G55" s="277">
        <f t="shared" si="9"/>
        <v>30</v>
      </c>
      <c r="H55" s="277">
        <f t="shared" si="0"/>
        <v>11000</v>
      </c>
      <c r="I55" s="277">
        <v>600</v>
      </c>
      <c r="J55" s="506">
        <v>2400</v>
      </c>
      <c r="K55" s="506"/>
      <c r="L55" s="506"/>
      <c r="M55" s="506"/>
      <c r="N55" s="504">
        <f t="shared" si="1"/>
        <v>14000</v>
      </c>
      <c r="O55" s="504">
        <f t="shared" si="2"/>
        <v>13400</v>
      </c>
      <c r="P55" s="504">
        <f t="shared" si="3"/>
        <v>2670</v>
      </c>
      <c r="Q55" s="435"/>
      <c r="R55" s="505">
        <v>100</v>
      </c>
      <c r="S55" s="435"/>
      <c r="T55" s="435"/>
      <c r="U55" s="504">
        <f t="shared" si="15"/>
        <v>770.00000000000011</v>
      </c>
      <c r="V55" s="504">
        <f>H55*0.11</f>
        <v>1210</v>
      </c>
      <c r="W55" s="504"/>
      <c r="X55" s="504">
        <f t="shared" si="10"/>
        <v>3540</v>
      </c>
      <c r="Y55" s="507">
        <f t="shared" si="16"/>
        <v>10460</v>
      </c>
      <c r="Z55" s="263"/>
    </row>
    <row r="56" spans="1:63" s="179" customFormat="1" ht="39.75" customHeight="1">
      <c r="A56" s="505">
        <v>50</v>
      </c>
      <c r="B56" s="357" t="s">
        <v>345</v>
      </c>
      <c r="C56" s="504" t="s">
        <v>69</v>
      </c>
      <c r="D56" s="278">
        <v>11000</v>
      </c>
      <c r="E56" s="277">
        <v>30</v>
      </c>
      <c r="F56" s="277">
        <v>0</v>
      </c>
      <c r="G56" s="277">
        <f t="shared" si="9"/>
        <v>30</v>
      </c>
      <c r="H56" s="277">
        <f t="shared" si="0"/>
        <v>11000</v>
      </c>
      <c r="I56" s="277">
        <v>600</v>
      </c>
      <c r="J56" s="506">
        <v>300</v>
      </c>
      <c r="K56" s="506"/>
      <c r="L56" s="506"/>
      <c r="M56" s="506"/>
      <c r="N56" s="504">
        <f t="shared" si="1"/>
        <v>11900</v>
      </c>
      <c r="O56" s="504">
        <f>H56</f>
        <v>11000</v>
      </c>
      <c r="P56" s="504">
        <f t="shared" si="3"/>
        <v>1950</v>
      </c>
      <c r="Q56" s="435"/>
      <c r="R56" s="505">
        <v>100</v>
      </c>
      <c r="S56" s="435"/>
      <c r="T56" s="435"/>
      <c r="U56" s="504"/>
      <c r="V56" s="504"/>
      <c r="W56" s="504"/>
      <c r="X56" s="504">
        <f t="shared" si="10"/>
        <v>2050</v>
      </c>
      <c r="Y56" s="507">
        <f t="shared" si="16"/>
        <v>9850</v>
      </c>
      <c r="Z56" s="260"/>
    </row>
    <row r="57" spans="1:63" s="363" customFormat="1" ht="39.75" customHeight="1">
      <c r="A57" s="505">
        <v>51</v>
      </c>
      <c r="B57" s="357" t="s">
        <v>346</v>
      </c>
      <c r="C57" s="504" t="s">
        <v>69</v>
      </c>
      <c r="D57" s="278">
        <v>11000</v>
      </c>
      <c r="E57" s="277">
        <v>30</v>
      </c>
      <c r="F57" s="277">
        <v>0</v>
      </c>
      <c r="G57" s="277">
        <f t="shared" si="9"/>
        <v>30</v>
      </c>
      <c r="H57" s="277">
        <f t="shared" si="0"/>
        <v>11000</v>
      </c>
      <c r="I57" s="277">
        <v>600</v>
      </c>
      <c r="J57" s="506">
        <v>2400</v>
      </c>
      <c r="K57" s="277"/>
      <c r="L57" s="506"/>
      <c r="M57" s="506"/>
      <c r="N57" s="504">
        <f>H57+I57+J57+K57+M57</f>
        <v>14000</v>
      </c>
      <c r="O57" s="504">
        <f t="shared" si="2"/>
        <v>13400</v>
      </c>
      <c r="P57" s="504">
        <f t="shared" si="3"/>
        <v>2670</v>
      </c>
      <c r="Q57" s="435">
        <v>2300</v>
      </c>
      <c r="R57" s="505">
        <v>100</v>
      </c>
      <c r="S57" s="435">
        <v>5000</v>
      </c>
      <c r="T57" s="514"/>
      <c r="U57" s="504"/>
      <c r="V57" s="504"/>
      <c r="W57" s="504"/>
      <c r="X57" s="504">
        <f t="shared" si="10"/>
        <v>10070</v>
      </c>
      <c r="Y57" s="507">
        <f t="shared" si="16"/>
        <v>3930</v>
      </c>
      <c r="Z57" s="263"/>
      <c r="AA57" s="373"/>
    </row>
    <row r="58" spans="1:63" s="363" customFormat="1" ht="39.75" customHeight="1">
      <c r="A58" s="505">
        <v>52</v>
      </c>
      <c r="B58" s="357" t="s">
        <v>445</v>
      </c>
      <c r="C58" s="504" t="s">
        <v>69</v>
      </c>
      <c r="D58" s="278">
        <v>10000</v>
      </c>
      <c r="E58" s="277">
        <v>30</v>
      </c>
      <c r="F58" s="277">
        <v>0</v>
      </c>
      <c r="G58" s="277">
        <v>30</v>
      </c>
      <c r="H58" s="277">
        <v>10000</v>
      </c>
      <c r="I58" s="277">
        <v>1600</v>
      </c>
      <c r="J58" s="506">
        <v>900</v>
      </c>
      <c r="K58" s="506"/>
      <c r="L58" s="506"/>
      <c r="M58" s="506"/>
      <c r="N58" s="504">
        <f>H58+I58+J58</f>
        <v>12500</v>
      </c>
      <c r="O58" s="504">
        <f>H58</f>
        <v>10000</v>
      </c>
      <c r="P58" s="504">
        <f t="shared" si="3"/>
        <v>1650</v>
      </c>
      <c r="Q58" s="435"/>
      <c r="R58" s="505">
        <v>100</v>
      </c>
      <c r="S58" s="435">
        <v>978</v>
      </c>
      <c r="T58" s="435"/>
      <c r="U58" s="504">
        <f t="shared" si="15"/>
        <v>700.00000000000011</v>
      </c>
      <c r="V58" s="504">
        <f>H58*0.11</f>
        <v>1100</v>
      </c>
      <c r="W58" s="504"/>
      <c r="X58" s="504">
        <f>P58+Q58+R58+S58+T58</f>
        <v>2728</v>
      </c>
      <c r="Y58" s="507">
        <f t="shared" si="16"/>
        <v>9772</v>
      </c>
      <c r="Z58" s="263"/>
      <c r="AA58" s="373"/>
    </row>
    <row r="59" spans="1:63" s="12" customFormat="1" ht="39.75" customHeight="1">
      <c r="A59" s="505"/>
      <c r="B59" s="504" t="s">
        <v>4</v>
      </c>
      <c r="C59" s="504"/>
      <c r="D59" s="380">
        <f>SUM(D7:D58)</f>
        <v>614604.25</v>
      </c>
      <c r="E59" s="504"/>
      <c r="F59" s="504"/>
      <c r="G59" s="504"/>
      <c r="H59" s="380">
        <f>SUM(H7:H58)</f>
        <v>613413.64533333341</v>
      </c>
      <c r="I59" s="380">
        <f>SUM(I7:I58)</f>
        <v>10200</v>
      </c>
      <c r="J59" s="517">
        <f>SUM(J7:J58)</f>
        <v>100500</v>
      </c>
      <c r="K59" s="380"/>
      <c r="L59" s="517">
        <f>SUM(L7:L58)</f>
        <v>1500</v>
      </c>
      <c r="M59" s="517">
        <f>SUM(M7:M58)</f>
        <v>6000</v>
      </c>
      <c r="N59" s="504">
        <f t="shared" ref="N59:R59" si="17">SUM(N7:N58)</f>
        <v>731613.64533333329</v>
      </c>
      <c r="O59" s="504">
        <f t="shared" si="17"/>
        <v>695813.64533333329</v>
      </c>
      <c r="P59" s="129">
        <f>SUM(P7:P58)</f>
        <v>140984.18193333334</v>
      </c>
      <c r="Q59" s="517">
        <f t="shared" si="17"/>
        <v>13650</v>
      </c>
      <c r="R59" s="505">
        <f t="shared" si="17"/>
        <v>5200</v>
      </c>
      <c r="S59" s="517">
        <f>SUM(S7:S58)</f>
        <v>42222</v>
      </c>
      <c r="T59" s="518">
        <f>SUM(T7:T58)</f>
        <v>29290</v>
      </c>
      <c r="U59" s="436">
        <f>SUM(U7:U58)</f>
        <v>33214.353806666666</v>
      </c>
      <c r="V59" s="436">
        <f>SUM(V7:V58)</f>
        <v>52193.984553333328</v>
      </c>
      <c r="W59" s="380">
        <f>SUM(W7:W57)</f>
        <v>0</v>
      </c>
      <c r="X59" s="380">
        <f>SUM(X7:X58)</f>
        <v>263860.53574000002</v>
      </c>
      <c r="Y59" s="436">
        <f>SUM(Y7:Y58)</f>
        <v>467753.10959333339</v>
      </c>
      <c r="Z59" s="260"/>
    </row>
    <row r="60" spans="1:63" ht="39.75" customHeight="1">
      <c r="A60" s="432"/>
      <c r="B60" s="432"/>
      <c r="C60" s="519" t="s">
        <v>180</v>
      </c>
      <c r="D60" s="519"/>
      <c r="E60" s="519"/>
      <c r="F60" s="519"/>
      <c r="G60" s="519"/>
      <c r="H60" s="519"/>
      <c r="I60" s="519"/>
      <c r="J60" s="519"/>
      <c r="K60" s="519"/>
      <c r="L60" s="519"/>
      <c r="M60" s="519"/>
      <c r="N60" s="520"/>
      <c r="O60" s="520"/>
      <c r="P60" s="520"/>
      <c r="Q60" s="521"/>
      <c r="R60" s="521"/>
      <c r="S60" s="521"/>
      <c r="T60" s="522"/>
      <c r="U60" s="522"/>
      <c r="V60" s="520" t="s">
        <v>179</v>
      </c>
      <c r="W60" s="520"/>
      <c r="X60" s="523"/>
      <c r="Y60" s="433"/>
      <c r="Z60" s="434"/>
    </row>
    <row r="61" spans="1:63" ht="39.75" customHeight="1">
      <c r="A61" s="432"/>
      <c r="B61" s="432"/>
      <c r="C61" s="519" t="s">
        <v>5</v>
      </c>
      <c r="D61" s="519"/>
      <c r="E61" s="519"/>
      <c r="F61" s="519"/>
      <c r="G61" s="519"/>
      <c r="H61" s="519"/>
      <c r="I61" s="519"/>
      <c r="J61" s="519"/>
      <c r="K61" s="519"/>
      <c r="L61" s="519"/>
      <c r="M61" s="519"/>
      <c r="N61" s="519"/>
      <c r="O61" s="519"/>
      <c r="P61" s="519"/>
      <c r="Q61" s="521"/>
      <c r="R61" s="521"/>
      <c r="S61" s="521"/>
      <c r="T61" s="522"/>
      <c r="U61" s="522"/>
      <c r="V61" s="519" t="s">
        <v>0</v>
      </c>
      <c r="W61" s="519"/>
      <c r="X61" s="523"/>
      <c r="Y61" s="433"/>
      <c r="Z61" s="431"/>
    </row>
    <row r="62" spans="1:63" ht="55.5" customHeight="1">
      <c r="A62" s="484"/>
      <c r="B62" s="486"/>
      <c r="C62" s="524"/>
      <c r="D62" s="524"/>
      <c r="E62" s="524"/>
      <c r="F62" s="524"/>
      <c r="G62" s="524"/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5"/>
      <c r="T62" s="526"/>
      <c r="U62" s="526"/>
      <c r="V62" s="527"/>
      <c r="W62" s="528"/>
      <c r="X62" s="529"/>
      <c r="Y62" s="487"/>
      <c r="Z62" s="485"/>
    </row>
    <row r="63" spans="1:63" ht="15.5">
      <c r="A63" s="75"/>
      <c r="B63" s="6"/>
      <c r="C63" s="7"/>
      <c r="D63" s="7"/>
      <c r="E63" s="7"/>
      <c r="F63" s="7"/>
      <c r="G63" s="7"/>
      <c r="H63" s="7"/>
      <c r="I63" s="7"/>
      <c r="J63" s="7"/>
      <c r="K63" s="7"/>
      <c r="L63" s="7"/>
      <c r="M63" s="13"/>
      <c r="N63" s="13"/>
      <c r="O63" s="13"/>
      <c r="P63" s="13"/>
      <c r="Q63" s="14"/>
      <c r="R63" s="14"/>
      <c r="S63" s="72"/>
      <c r="T63" s="72"/>
      <c r="U63" s="73"/>
      <c r="V63" s="73"/>
      <c r="W63" s="73"/>
      <c r="X63" s="71"/>
      <c r="Y63" s="74"/>
      <c r="Z63" s="69"/>
    </row>
    <row r="64" spans="1:63" ht="15.5">
      <c r="A64" s="76"/>
      <c r="B64" s="488"/>
      <c r="C64" s="488"/>
      <c r="D64" s="488"/>
      <c r="E64" s="488"/>
      <c r="F64" s="488"/>
      <c r="G64" s="488"/>
      <c r="H64" s="491"/>
      <c r="I64" s="488"/>
      <c r="J64" s="488"/>
      <c r="K64" s="488"/>
      <c r="L64" s="489"/>
      <c r="M64" s="489"/>
      <c r="N64" s="489"/>
      <c r="O64" s="488"/>
      <c r="P64" s="488"/>
      <c r="Q64" s="488"/>
      <c r="R64" s="488"/>
      <c r="S64" s="489"/>
      <c r="T64" s="490" t="s">
        <v>197</v>
      </c>
      <c r="U64" s="489"/>
      <c r="V64" s="489"/>
      <c r="W64" s="489"/>
      <c r="X64" s="489"/>
      <c r="Y64" s="489"/>
      <c r="Z64" s="69"/>
    </row>
    <row r="65" spans="1:26">
      <c r="A65" s="68"/>
      <c r="B65" s="489"/>
      <c r="C65" s="489"/>
      <c r="D65" s="489"/>
      <c r="E65" s="489"/>
      <c r="F65" s="489"/>
      <c r="G65" s="489"/>
      <c r="H65" s="492"/>
      <c r="I65" s="489"/>
      <c r="J65" s="489"/>
      <c r="K65" s="489"/>
      <c r="L65" s="24"/>
      <c r="M65" s="24"/>
      <c r="N65" s="24"/>
      <c r="O65" s="489"/>
      <c r="P65" s="489"/>
      <c r="Q65" s="489"/>
      <c r="R65" s="489"/>
      <c r="S65" s="489"/>
      <c r="T65" s="489"/>
      <c r="U65" s="489"/>
      <c r="V65" s="489"/>
      <c r="W65" s="489"/>
      <c r="X65" s="489"/>
      <c r="Y65" s="489"/>
      <c r="Z65" s="69"/>
    </row>
    <row r="66" spans="1:26">
      <c r="A66" s="68"/>
      <c r="B66" s="69"/>
      <c r="C66" s="69"/>
      <c r="D66" s="69"/>
      <c r="E66" s="69"/>
      <c r="F66" s="69"/>
      <c r="G66" s="69"/>
      <c r="H66" s="493"/>
      <c r="I66" s="69"/>
      <c r="J66" s="69"/>
      <c r="K66" s="69"/>
      <c r="O66" s="69"/>
      <c r="P66" s="69"/>
      <c r="Q66" s="69"/>
      <c r="R66" s="69"/>
      <c r="S66" s="69"/>
      <c r="T66" s="69"/>
      <c r="U66" s="69" t="s">
        <v>188</v>
      </c>
      <c r="V66" s="69"/>
      <c r="W66" s="69"/>
      <c r="X66" s="69"/>
      <c r="Y66" s="69"/>
      <c r="Z66" s="69"/>
    </row>
    <row r="67" spans="1:26">
      <c r="A67" s="68"/>
      <c r="B67" s="69"/>
      <c r="C67" s="69"/>
      <c r="D67" s="69"/>
      <c r="E67" s="69"/>
      <c r="F67" s="69"/>
      <c r="G67" s="69"/>
      <c r="H67" s="493"/>
      <c r="I67" s="69"/>
      <c r="J67" s="188"/>
      <c r="K67" s="188"/>
      <c r="M67" s="22"/>
      <c r="O67" s="69"/>
      <c r="P67" s="69"/>
      <c r="Q67" s="69"/>
      <c r="R67" s="69"/>
      <c r="S67" s="69"/>
      <c r="T67" s="69"/>
      <c r="U67" s="69"/>
      <c r="V67" s="69"/>
      <c r="W67" s="69"/>
      <c r="X67" s="69"/>
      <c r="Y67" s="69"/>
      <c r="Z67" s="69"/>
    </row>
    <row r="68" spans="1:26">
      <c r="H68" s="16"/>
    </row>
    <row r="69" spans="1:26">
      <c r="H69" s="16"/>
    </row>
    <row r="70" spans="1:26">
      <c r="H70" s="16"/>
    </row>
    <row r="71" spans="1:26">
      <c r="H71" s="16"/>
    </row>
    <row r="72" spans="1:26">
      <c r="H72" s="16"/>
    </row>
    <row r="73" spans="1:26">
      <c r="H73" s="16"/>
    </row>
    <row r="74" spans="1:26">
      <c r="H74" s="16"/>
    </row>
    <row r="75" spans="1:26">
      <c r="H75" s="16"/>
    </row>
    <row r="76" spans="1:26">
      <c r="H76" s="16"/>
    </row>
    <row r="77" spans="1:26">
      <c r="H77" s="16"/>
    </row>
    <row r="78" spans="1:26">
      <c r="H78" s="16"/>
    </row>
    <row r="79" spans="1:26">
      <c r="H79" s="16"/>
      <c r="K79" s="313" t="s">
        <v>7</v>
      </c>
    </row>
    <row r="80" spans="1:26">
      <c r="H80" s="16"/>
    </row>
  </sheetData>
  <mergeCells count="12">
    <mergeCell ref="A2:Z2"/>
    <mergeCell ref="P5:V5"/>
    <mergeCell ref="A5:A6"/>
    <mergeCell ref="B5:B6"/>
    <mergeCell ref="C5:C6"/>
    <mergeCell ref="N5:N6"/>
    <mergeCell ref="O5:O6"/>
    <mergeCell ref="X5:X6"/>
    <mergeCell ref="Y5:Y6"/>
    <mergeCell ref="Z5:Z6"/>
    <mergeCell ref="A3:Z4"/>
    <mergeCell ref="I5:M5"/>
  </mergeCells>
  <pageMargins left="0.56874999999999998" right="0.69930555555555596" top="0.61" bottom="0.4" header="0.3" footer="0.3"/>
  <pageSetup scale="38" orientation="landscape" r:id="rId1"/>
  <rowBreaks count="1" manualBreakCount="1">
    <brk id="29" max="16383" man="1"/>
  </rowBreaks>
  <colBreaks count="2" manualBreakCount="2">
    <brk id="25" max="1048575" man="1"/>
    <brk id="2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48"/>
  <sheetViews>
    <sheetView view="pageBreakPreview" zoomScale="80" zoomScaleNormal="80" zoomScaleSheetLayoutView="80" workbookViewId="0">
      <selection activeCell="P7" sqref="P7:Q29"/>
    </sheetView>
  </sheetViews>
  <sheetFormatPr defaultColWidth="9.1796875" defaultRowHeight="14.5"/>
  <cols>
    <col min="1" max="1" width="5.81640625" style="4" customWidth="1"/>
    <col min="2" max="2" width="27.81640625" style="5" customWidth="1"/>
    <col min="3" max="3" width="16.7265625" style="5" customWidth="1"/>
    <col min="4" max="4" width="15.81640625" style="5" customWidth="1"/>
    <col min="5" max="7" width="7.54296875" style="5" customWidth="1"/>
    <col min="8" max="8" width="12.26953125" style="5" customWidth="1"/>
    <col min="9" max="9" width="6.1796875" style="5" customWidth="1"/>
    <col min="10" max="10" width="7.7265625" style="5" customWidth="1"/>
    <col min="11" max="12" width="16" style="5" customWidth="1"/>
    <col min="13" max="13" width="15.26953125" style="5" customWidth="1"/>
    <col min="14" max="14" width="9.54296875" style="5" customWidth="1"/>
    <col min="15" max="15" width="10.453125" style="5" customWidth="1"/>
    <col min="16" max="17" width="15.453125" style="5" customWidth="1"/>
    <col min="18" max="18" width="12.26953125" style="5" hidden="1" customWidth="1"/>
    <col min="19" max="19" width="18.54296875" style="5" customWidth="1"/>
    <col min="20" max="20" width="17.453125" style="5" customWidth="1"/>
    <col min="21" max="21" width="7.7265625" style="5" customWidth="1"/>
    <col min="22" max="22" width="0.1796875" style="5" hidden="1" customWidth="1"/>
    <col min="23" max="23" width="11.54296875" style="5" hidden="1" customWidth="1"/>
    <col min="24" max="24" width="9.54296875" style="5" hidden="1" customWidth="1"/>
    <col min="25" max="26" width="10.54296875" style="5" hidden="1" customWidth="1"/>
    <col min="27" max="28" width="9.1796875" style="5" hidden="1" customWidth="1"/>
    <col min="29" max="16384" width="9.1796875" style="5"/>
  </cols>
  <sheetData>
    <row r="1" spans="1:26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</row>
    <row r="2" spans="1:26" ht="26">
      <c r="A2" s="704" t="s">
        <v>480</v>
      </c>
      <c r="B2" s="704"/>
      <c r="C2" s="704"/>
      <c r="D2" s="704"/>
      <c r="E2" s="704"/>
      <c r="F2" s="704"/>
      <c r="G2" s="704"/>
      <c r="H2" s="704"/>
      <c r="I2" s="704"/>
      <c r="J2" s="704"/>
      <c r="K2" s="704"/>
      <c r="L2" s="704"/>
      <c r="M2" s="704"/>
      <c r="N2" s="704"/>
      <c r="O2" s="704"/>
      <c r="P2" s="704"/>
      <c r="Q2" s="704"/>
      <c r="R2" s="704"/>
      <c r="S2" s="704"/>
      <c r="T2" s="704"/>
      <c r="U2" s="704"/>
    </row>
    <row r="3" spans="1:26" ht="16.5" customHeight="1">
      <c r="A3" s="722" t="s">
        <v>485</v>
      </c>
      <c r="B3" s="723"/>
      <c r="C3" s="723"/>
      <c r="D3" s="723"/>
      <c r="E3" s="723"/>
      <c r="F3" s="723"/>
      <c r="G3" s="723"/>
      <c r="H3" s="723"/>
      <c r="I3" s="723"/>
      <c r="J3" s="723"/>
      <c r="K3" s="723"/>
      <c r="L3" s="723"/>
      <c r="M3" s="723"/>
      <c r="N3" s="723"/>
      <c r="O3" s="723"/>
      <c r="P3" s="723"/>
      <c r="Q3" s="723"/>
      <c r="R3" s="723"/>
      <c r="S3" s="723"/>
      <c r="T3" s="724"/>
      <c r="U3" s="718"/>
    </row>
    <row r="4" spans="1:26" ht="15.75" customHeight="1">
      <c r="A4" s="725"/>
      <c r="B4" s="704"/>
      <c r="C4" s="704"/>
      <c r="D4" s="704"/>
      <c r="E4" s="704"/>
      <c r="F4" s="704"/>
      <c r="G4" s="704"/>
      <c r="H4" s="704"/>
      <c r="I4" s="704"/>
      <c r="J4" s="704"/>
      <c r="K4" s="704"/>
      <c r="L4" s="704"/>
      <c r="M4" s="704"/>
      <c r="N4" s="704"/>
      <c r="O4" s="704"/>
      <c r="P4" s="704"/>
      <c r="Q4" s="704"/>
      <c r="R4" s="704"/>
      <c r="S4" s="704"/>
      <c r="T4" s="726"/>
      <c r="U4" s="719"/>
    </row>
    <row r="5" spans="1:26" ht="16.5" customHeight="1">
      <c r="A5" s="711" t="s">
        <v>1</v>
      </c>
      <c r="B5" s="713" t="s">
        <v>2</v>
      </c>
      <c r="C5" s="715" t="s">
        <v>10</v>
      </c>
      <c r="D5" s="332"/>
      <c r="E5" s="715" t="s">
        <v>11</v>
      </c>
      <c r="F5" s="335"/>
      <c r="G5" s="335"/>
      <c r="H5" s="705" t="s">
        <v>12</v>
      </c>
      <c r="I5" s="706"/>
      <c r="J5" s="707"/>
      <c r="K5" s="715" t="s">
        <v>13</v>
      </c>
      <c r="L5" s="715" t="s">
        <v>14</v>
      </c>
      <c r="M5" s="708" t="s">
        <v>15</v>
      </c>
      <c r="N5" s="709"/>
      <c r="O5" s="709"/>
      <c r="P5" s="709"/>
      <c r="Q5" s="710"/>
      <c r="R5" s="51"/>
      <c r="S5" s="715" t="s">
        <v>16</v>
      </c>
      <c r="T5" s="713" t="s">
        <v>3</v>
      </c>
      <c r="U5" s="720" t="s">
        <v>0</v>
      </c>
      <c r="W5" s="5" t="s">
        <v>8</v>
      </c>
    </row>
    <row r="6" spans="1:26" ht="43" thickTop="1">
      <c r="A6" s="712"/>
      <c r="B6" s="714"/>
      <c r="C6" s="716"/>
      <c r="D6" s="91" t="s">
        <v>430</v>
      </c>
      <c r="E6" s="717"/>
      <c r="F6" s="77" t="s">
        <v>434</v>
      </c>
      <c r="G6" s="91" t="s">
        <v>435</v>
      </c>
      <c r="H6" s="91" t="s">
        <v>429</v>
      </c>
      <c r="I6" s="91" t="s">
        <v>365</v>
      </c>
      <c r="J6" s="11" t="s">
        <v>70</v>
      </c>
      <c r="K6" s="714"/>
      <c r="L6" s="714"/>
      <c r="M6" s="53" t="s">
        <v>22</v>
      </c>
      <c r="N6" s="53" t="s">
        <v>25</v>
      </c>
      <c r="O6" s="53" t="s">
        <v>23</v>
      </c>
      <c r="P6" s="52" t="s">
        <v>27</v>
      </c>
      <c r="Q6" s="52" t="s">
        <v>28</v>
      </c>
      <c r="R6" s="51" t="s">
        <v>9</v>
      </c>
      <c r="S6" s="714"/>
      <c r="T6" s="714"/>
      <c r="U6" s="721"/>
      <c r="W6" s="5" t="s">
        <v>8</v>
      </c>
    </row>
    <row r="7" spans="1:26" s="114" customFormat="1" ht="30" customHeight="1">
      <c r="A7" s="92">
        <v>1</v>
      </c>
      <c r="B7" s="437" t="s">
        <v>71</v>
      </c>
      <c r="C7" s="106" t="s">
        <v>185</v>
      </c>
      <c r="D7" s="549">
        <v>13600</v>
      </c>
      <c r="E7" s="93">
        <v>30</v>
      </c>
      <c r="F7" s="93"/>
      <c r="G7" s="93">
        <f>E7-F7</f>
        <v>30</v>
      </c>
      <c r="H7" s="549">
        <f>D7/E7*G7</f>
        <v>13600</v>
      </c>
      <c r="I7" s="126"/>
      <c r="J7" s="93"/>
      <c r="K7" s="437">
        <f>H7+I7+J7</f>
        <v>13600</v>
      </c>
      <c r="L7" s="437">
        <f>H7</f>
        <v>13600</v>
      </c>
      <c r="M7" s="129">
        <f>IF(L7&lt;=2000,0,IF(L7&lt;=4000,L7*0.15-300,IF(L7&lt;=7000,L7*0.2-500,IF(L7&lt;=10000,L7*0.25-850,IF(L7&lt;=14000,L7*0.3-1350,IF(L7&gt;14000,L7*0.35-2050))))))</f>
        <v>2730</v>
      </c>
      <c r="N7" s="364"/>
      <c r="O7" s="364"/>
      <c r="P7" s="455">
        <f>H7*0.07</f>
        <v>952.00000000000011</v>
      </c>
      <c r="Q7" s="437">
        <f>H7*0.11</f>
        <v>1496</v>
      </c>
      <c r="R7" s="113"/>
      <c r="S7" s="437">
        <f>M7+N7+O7+P7</f>
        <v>3682</v>
      </c>
      <c r="T7" s="542">
        <f>K7-S7</f>
        <v>9918</v>
      </c>
      <c r="U7" s="193"/>
      <c r="W7" s="115"/>
      <c r="Z7" s="114">
        <f>X7-Y7</f>
        <v>0</v>
      </c>
    </row>
    <row r="8" spans="1:26" s="114" customFormat="1" ht="33" customHeight="1">
      <c r="A8" s="92">
        <v>2</v>
      </c>
      <c r="B8" s="437" t="s">
        <v>73</v>
      </c>
      <c r="C8" s="106" t="s">
        <v>185</v>
      </c>
      <c r="D8" s="549">
        <v>10556</v>
      </c>
      <c r="E8" s="93">
        <v>30</v>
      </c>
      <c r="F8" s="273"/>
      <c r="G8" s="93">
        <f t="shared" ref="G8:G28" si="0">E8-F8</f>
        <v>30</v>
      </c>
      <c r="H8" s="549">
        <f>D8/E8*G8</f>
        <v>10556</v>
      </c>
      <c r="I8" s="126"/>
      <c r="J8" s="93"/>
      <c r="K8" s="437">
        <f>H8+I8+J8</f>
        <v>10556</v>
      </c>
      <c r="L8" s="437">
        <f t="shared" ref="L8:L29" si="1">H8</f>
        <v>10556</v>
      </c>
      <c r="M8" s="129">
        <f t="shared" ref="M8:M29" si="2">IF(L8&lt;=2000,0,IF(L8&lt;=4000,L8*0.15-300,IF(L8&lt;=7000,L8*0.2-500,IF(L8&lt;=10000,L8*0.25-850,IF(L8&lt;=14000,L8*0.3-1350,IF(L8&gt;14000,L8*0.35-2050))))))</f>
        <v>1816.7999999999997</v>
      </c>
      <c r="N8" s="689">
        <v>2500</v>
      </c>
      <c r="O8" s="364"/>
      <c r="P8" s="455">
        <f t="shared" ref="P8:P29" si="3">H8*0.07</f>
        <v>738.92000000000007</v>
      </c>
      <c r="Q8" s="437">
        <f t="shared" ref="Q8:Q29" si="4">H8*0.11</f>
        <v>1161.1600000000001</v>
      </c>
      <c r="R8" s="113"/>
      <c r="S8" s="437">
        <f t="shared" ref="S8:S29" si="5">M8+N8+O8+P8</f>
        <v>5055.7199999999993</v>
      </c>
      <c r="T8" s="542">
        <f t="shared" ref="T8:T29" si="6">K8-S8</f>
        <v>5500.2800000000007</v>
      </c>
      <c r="U8" s="105"/>
      <c r="W8" s="115"/>
      <c r="Z8" s="114">
        <f t="shared" ref="Z8:Z26" si="7">X8-Y8</f>
        <v>0</v>
      </c>
    </row>
    <row r="9" spans="1:26" s="114" customFormat="1" ht="31.5" customHeight="1">
      <c r="A9" s="92">
        <v>3</v>
      </c>
      <c r="B9" s="437" t="s">
        <v>74</v>
      </c>
      <c r="C9" s="106" t="s">
        <v>185</v>
      </c>
      <c r="D9" s="549">
        <v>10922.53</v>
      </c>
      <c r="E9" s="93">
        <v>30</v>
      </c>
      <c r="F9" s="273"/>
      <c r="G9" s="93">
        <f t="shared" si="0"/>
        <v>30</v>
      </c>
      <c r="H9" s="549">
        <f t="shared" ref="H9:H28" si="8">D9/E9*G9</f>
        <v>10922.53</v>
      </c>
      <c r="I9" s="126"/>
      <c r="J9" s="93"/>
      <c r="K9" s="437">
        <f t="shared" ref="K9:K29" si="9">H9+I9+J9</f>
        <v>10922.53</v>
      </c>
      <c r="L9" s="437">
        <f t="shared" si="1"/>
        <v>10922.53</v>
      </c>
      <c r="M9" s="129">
        <f t="shared" si="2"/>
        <v>1926.759</v>
      </c>
      <c r="N9" s="534"/>
      <c r="O9" s="535">
        <v>2250</v>
      </c>
      <c r="P9" s="455">
        <f t="shared" si="3"/>
        <v>764.57710000000009</v>
      </c>
      <c r="Q9" s="437">
        <f t="shared" si="4"/>
        <v>1201.4783</v>
      </c>
      <c r="R9" s="113"/>
      <c r="S9" s="437">
        <f t="shared" si="5"/>
        <v>4941.3361000000004</v>
      </c>
      <c r="T9" s="542">
        <f t="shared" si="6"/>
        <v>5981.1939000000002</v>
      </c>
      <c r="U9" s="193"/>
      <c r="W9" s="115"/>
      <c r="Z9" s="114">
        <f t="shared" si="7"/>
        <v>0</v>
      </c>
    </row>
    <row r="10" spans="1:26" s="114" customFormat="1" ht="36.75" customHeight="1">
      <c r="A10" s="92">
        <v>4</v>
      </c>
      <c r="B10" s="437" t="s">
        <v>75</v>
      </c>
      <c r="C10" s="106" t="s">
        <v>186</v>
      </c>
      <c r="D10" s="549">
        <v>8500</v>
      </c>
      <c r="E10" s="93">
        <v>30</v>
      </c>
      <c r="F10" s="273"/>
      <c r="G10" s="93">
        <f t="shared" si="0"/>
        <v>30</v>
      </c>
      <c r="H10" s="549">
        <f t="shared" si="8"/>
        <v>8500</v>
      </c>
      <c r="I10" s="126"/>
      <c r="J10" s="93"/>
      <c r="K10" s="437">
        <f t="shared" si="9"/>
        <v>8500</v>
      </c>
      <c r="L10" s="437">
        <f t="shared" si="1"/>
        <v>8500</v>
      </c>
      <c r="M10" s="129">
        <f t="shared" si="2"/>
        <v>1275</v>
      </c>
      <c r="N10" s="534"/>
      <c r="O10" s="533">
        <v>1800</v>
      </c>
      <c r="P10" s="455">
        <f t="shared" si="3"/>
        <v>595</v>
      </c>
      <c r="Q10" s="437">
        <f t="shared" si="4"/>
        <v>935</v>
      </c>
      <c r="R10" s="113"/>
      <c r="S10" s="437">
        <f t="shared" si="5"/>
        <v>3670</v>
      </c>
      <c r="T10" s="542">
        <f t="shared" si="6"/>
        <v>4830</v>
      </c>
      <c r="U10" s="194"/>
      <c r="W10" s="115"/>
      <c r="Z10" s="114">
        <f t="shared" si="7"/>
        <v>0</v>
      </c>
    </row>
    <row r="11" spans="1:26" s="79" customFormat="1" ht="32.25" customHeight="1">
      <c r="A11" s="92">
        <v>5</v>
      </c>
      <c r="B11" s="438" t="s">
        <v>261</v>
      </c>
      <c r="C11" s="200" t="s">
        <v>185</v>
      </c>
      <c r="D11" s="550">
        <v>12400</v>
      </c>
      <c r="E11" s="89">
        <v>30</v>
      </c>
      <c r="F11" s="89"/>
      <c r="G11" s="93">
        <f t="shared" si="0"/>
        <v>30</v>
      </c>
      <c r="H11" s="549">
        <f t="shared" si="8"/>
        <v>12400</v>
      </c>
      <c r="I11" s="205"/>
      <c r="J11" s="89">
        <v>600</v>
      </c>
      <c r="K11" s="437">
        <f t="shared" si="9"/>
        <v>13000</v>
      </c>
      <c r="L11" s="438">
        <f t="shared" si="1"/>
        <v>12400</v>
      </c>
      <c r="M11" s="129">
        <f t="shared" si="2"/>
        <v>2370</v>
      </c>
      <c r="N11" s="534"/>
      <c r="O11" s="536"/>
      <c r="P11" s="454">
        <f t="shared" si="3"/>
        <v>868.00000000000011</v>
      </c>
      <c r="Q11" s="438">
        <f t="shared" si="4"/>
        <v>1364</v>
      </c>
      <c r="R11" s="94"/>
      <c r="S11" s="437">
        <f t="shared" si="5"/>
        <v>3238</v>
      </c>
      <c r="T11" s="543">
        <f t="shared" si="6"/>
        <v>9762</v>
      </c>
      <c r="U11" s="90"/>
      <c r="W11" s="80"/>
      <c r="Z11" s="79">
        <f t="shared" si="7"/>
        <v>0</v>
      </c>
    </row>
    <row r="12" spans="1:26" s="114" customFormat="1" ht="33" customHeight="1">
      <c r="A12" s="92">
        <v>6</v>
      </c>
      <c r="B12" s="437" t="s">
        <v>76</v>
      </c>
      <c r="C12" s="113" t="s">
        <v>72</v>
      </c>
      <c r="D12" s="551">
        <v>6930.73</v>
      </c>
      <c r="E12" s="93">
        <v>30</v>
      </c>
      <c r="F12" s="93"/>
      <c r="G12" s="93">
        <f t="shared" si="0"/>
        <v>30</v>
      </c>
      <c r="H12" s="549">
        <f t="shared" si="8"/>
        <v>6930.73</v>
      </c>
      <c r="I12" s="107"/>
      <c r="J12" s="93"/>
      <c r="K12" s="437">
        <f t="shared" si="9"/>
        <v>6930.73</v>
      </c>
      <c r="L12" s="437">
        <f t="shared" si="1"/>
        <v>6930.73</v>
      </c>
      <c r="M12" s="129">
        <f t="shared" si="2"/>
        <v>886.14599999999996</v>
      </c>
      <c r="N12" s="537"/>
      <c r="O12" s="364"/>
      <c r="P12" s="455">
        <f t="shared" si="3"/>
        <v>485.15110000000004</v>
      </c>
      <c r="Q12" s="437">
        <f t="shared" si="4"/>
        <v>762.38029999999992</v>
      </c>
      <c r="R12" s="113"/>
      <c r="S12" s="437">
        <f t="shared" si="5"/>
        <v>1371.2971</v>
      </c>
      <c r="T12" s="542">
        <f t="shared" si="6"/>
        <v>5559.4328999999998</v>
      </c>
      <c r="U12" s="90"/>
      <c r="W12" s="115"/>
      <c r="Z12" s="114">
        <f t="shared" si="7"/>
        <v>0</v>
      </c>
    </row>
    <row r="13" spans="1:26" s="79" customFormat="1" ht="33.75" customHeight="1">
      <c r="A13" s="92">
        <v>7</v>
      </c>
      <c r="B13" s="437" t="s">
        <v>77</v>
      </c>
      <c r="C13" s="106" t="s">
        <v>185</v>
      </c>
      <c r="D13" s="551">
        <v>8689.73</v>
      </c>
      <c r="E13" s="93">
        <v>30</v>
      </c>
      <c r="F13" s="93"/>
      <c r="G13" s="93">
        <f t="shared" si="0"/>
        <v>30</v>
      </c>
      <c r="H13" s="549">
        <f t="shared" si="8"/>
        <v>8689.73</v>
      </c>
      <c r="I13" s="107"/>
      <c r="J13" s="93"/>
      <c r="K13" s="437">
        <f t="shared" si="9"/>
        <v>8689.73</v>
      </c>
      <c r="L13" s="437">
        <f t="shared" si="1"/>
        <v>8689.73</v>
      </c>
      <c r="M13" s="129">
        <f t="shared" si="2"/>
        <v>1322.4324999999999</v>
      </c>
      <c r="N13" s="533"/>
      <c r="O13" s="538"/>
      <c r="P13" s="455">
        <f t="shared" si="3"/>
        <v>608.28110000000004</v>
      </c>
      <c r="Q13" s="437">
        <f t="shared" si="4"/>
        <v>955.87029999999993</v>
      </c>
      <c r="R13" s="113"/>
      <c r="S13" s="437">
        <f>M13+N13+P13</f>
        <v>1930.7136</v>
      </c>
      <c r="T13" s="542">
        <f t="shared" si="6"/>
        <v>6759.0163999999995</v>
      </c>
      <c r="U13" s="90"/>
      <c r="W13" s="80"/>
      <c r="Z13" s="79">
        <f t="shared" si="7"/>
        <v>0</v>
      </c>
    </row>
    <row r="14" spans="1:26" s="79" customFormat="1" ht="33.75" customHeight="1">
      <c r="A14" s="92">
        <v>8</v>
      </c>
      <c r="B14" s="437" t="s">
        <v>263</v>
      </c>
      <c r="C14" s="106" t="s">
        <v>185</v>
      </c>
      <c r="D14" s="551">
        <v>8400</v>
      </c>
      <c r="E14" s="93">
        <v>30</v>
      </c>
      <c r="F14" s="93"/>
      <c r="G14" s="93">
        <f t="shared" si="0"/>
        <v>30</v>
      </c>
      <c r="H14" s="549">
        <f t="shared" si="8"/>
        <v>8400</v>
      </c>
      <c r="I14" s="107"/>
      <c r="J14" s="93">
        <v>600</v>
      </c>
      <c r="K14" s="437">
        <f t="shared" si="9"/>
        <v>9000</v>
      </c>
      <c r="L14" s="437">
        <f>H14</f>
        <v>8400</v>
      </c>
      <c r="M14" s="129">
        <f t="shared" si="2"/>
        <v>1250</v>
      </c>
      <c r="N14" s="364"/>
      <c r="O14" s="364"/>
      <c r="P14" s="455">
        <f t="shared" si="3"/>
        <v>588</v>
      </c>
      <c r="Q14" s="437">
        <f t="shared" si="4"/>
        <v>924</v>
      </c>
      <c r="R14" s="113"/>
      <c r="S14" s="437">
        <f t="shared" si="5"/>
        <v>1838</v>
      </c>
      <c r="T14" s="542">
        <f t="shared" si="6"/>
        <v>7162</v>
      </c>
      <c r="U14" s="90"/>
      <c r="W14" s="80"/>
      <c r="Z14" s="79">
        <f t="shared" si="7"/>
        <v>0</v>
      </c>
    </row>
    <row r="15" spans="1:26" s="79" customFormat="1" ht="32.25" customHeight="1">
      <c r="A15" s="92">
        <v>9</v>
      </c>
      <c r="B15" s="439" t="s">
        <v>262</v>
      </c>
      <c r="C15" s="200" t="s">
        <v>185</v>
      </c>
      <c r="D15" s="552">
        <v>9400</v>
      </c>
      <c r="E15" s="89">
        <v>30</v>
      </c>
      <c r="F15" s="89"/>
      <c r="G15" s="93">
        <f t="shared" si="0"/>
        <v>30</v>
      </c>
      <c r="H15" s="549">
        <f t="shared" si="8"/>
        <v>9400</v>
      </c>
      <c r="I15" s="206"/>
      <c r="J15" s="89">
        <v>600</v>
      </c>
      <c r="K15" s="437">
        <f t="shared" si="9"/>
        <v>10000</v>
      </c>
      <c r="L15" s="438">
        <f t="shared" si="1"/>
        <v>9400</v>
      </c>
      <c r="M15" s="129">
        <f t="shared" si="2"/>
        <v>1500</v>
      </c>
      <c r="N15" s="534"/>
      <c r="O15" s="536"/>
      <c r="P15" s="454">
        <f t="shared" si="3"/>
        <v>658.00000000000011</v>
      </c>
      <c r="Q15" s="438">
        <f t="shared" si="4"/>
        <v>1034</v>
      </c>
      <c r="R15" s="94"/>
      <c r="S15" s="437">
        <f t="shared" si="5"/>
        <v>2158</v>
      </c>
      <c r="T15" s="543">
        <f t="shared" si="6"/>
        <v>7842</v>
      </c>
      <c r="U15" s="90"/>
      <c r="W15" s="80"/>
      <c r="Z15" s="79">
        <f t="shared" si="7"/>
        <v>0</v>
      </c>
    </row>
    <row r="16" spans="1:26" s="79" customFormat="1" ht="24" customHeight="1">
      <c r="A16" s="92">
        <v>10</v>
      </c>
      <c r="B16" s="439" t="s">
        <v>264</v>
      </c>
      <c r="C16" s="200" t="s">
        <v>185</v>
      </c>
      <c r="D16" s="552">
        <v>11400</v>
      </c>
      <c r="E16" s="89">
        <v>30</v>
      </c>
      <c r="F16" s="89"/>
      <c r="G16" s="93">
        <f t="shared" si="0"/>
        <v>30</v>
      </c>
      <c r="H16" s="549">
        <f t="shared" si="8"/>
        <v>11400</v>
      </c>
      <c r="I16" s="206"/>
      <c r="J16" s="89">
        <v>600</v>
      </c>
      <c r="K16" s="437">
        <f t="shared" si="9"/>
        <v>12000</v>
      </c>
      <c r="L16" s="438">
        <f t="shared" si="1"/>
        <v>11400</v>
      </c>
      <c r="M16" s="129">
        <f t="shared" si="2"/>
        <v>2070</v>
      </c>
      <c r="N16" s="533"/>
      <c r="O16" s="536"/>
      <c r="P16" s="454">
        <f t="shared" si="3"/>
        <v>798.00000000000011</v>
      </c>
      <c r="Q16" s="438">
        <f t="shared" si="4"/>
        <v>1254</v>
      </c>
      <c r="R16" s="94"/>
      <c r="S16" s="437">
        <f t="shared" si="5"/>
        <v>2868</v>
      </c>
      <c r="T16" s="543">
        <f t="shared" si="6"/>
        <v>9132</v>
      </c>
      <c r="U16" s="90"/>
      <c r="W16" s="80"/>
    </row>
    <row r="17" spans="1:29" s="79" customFormat="1" ht="24.75" customHeight="1">
      <c r="A17" s="92">
        <v>11</v>
      </c>
      <c r="B17" s="440" t="s">
        <v>265</v>
      </c>
      <c r="C17" s="106" t="s">
        <v>266</v>
      </c>
      <c r="D17" s="549">
        <v>4900</v>
      </c>
      <c r="E17" s="93">
        <v>30</v>
      </c>
      <c r="F17" s="93">
        <v>0</v>
      </c>
      <c r="G17" s="93">
        <f t="shared" si="0"/>
        <v>30</v>
      </c>
      <c r="H17" s="549">
        <f t="shared" si="8"/>
        <v>4900</v>
      </c>
      <c r="I17" s="126"/>
      <c r="J17" s="93">
        <v>600</v>
      </c>
      <c r="K17" s="437">
        <f t="shared" si="9"/>
        <v>5500</v>
      </c>
      <c r="L17" s="437">
        <f t="shared" si="1"/>
        <v>4900</v>
      </c>
      <c r="M17" s="129">
        <f t="shared" si="2"/>
        <v>480</v>
      </c>
      <c r="N17" s="364"/>
      <c r="O17" s="364"/>
      <c r="P17" s="455">
        <f t="shared" si="3"/>
        <v>343.00000000000006</v>
      </c>
      <c r="Q17" s="437">
        <f t="shared" si="4"/>
        <v>539</v>
      </c>
      <c r="R17" s="113"/>
      <c r="S17" s="437">
        <f t="shared" si="5"/>
        <v>823</v>
      </c>
      <c r="T17" s="542">
        <f t="shared" si="6"/>
        <v>4677</v>
      </c>
      <c r="U17" s="90"/>
      <c r="W17" s="80"/>
    </row>
    <row r="18" spans="1:29" s="79" customFormat="1" ht="24.75" customHeight="1">
      <c r="A18" s="92">
        <v>12</v>
      </c>
      <c r="B18" s="440" t="s">
        <v>168</v>
      </c>
      <c r="C18" s="3" t="s">
        <v>72</v>
      </c>
      <c r="D18" s="549">
        <v>6350</v>
      </c>
      <c r="E18" s="93">
        <v>30</v>
      </c>
      <c r="F18" s="93">
        <v>0</v>
      </c>
      <c r="G18" s="93">
        <f t="shared" si="0"/>
        <v>30</v>
      </c>
      <c r="H18" s="549">
        <f t="shared" si="8"/>
        <v>6350</v>
      </c>
      <c r="I18" s="254"/>
      <c r="J18" s="93"/>
      <c r="K18" s="437">
        <f t="shared" si="9"/>
        <v>6350</v>
      </c>
      <c r="L18" s="437">
        <f>H18</f>
        <v>6350</v>
      </c>
      <c r="M18" s="129">
        <f t="shared" si="2"/>
        <v>770</v>
      </c>
      <c r="N18" s="534"/>
      <c r="O18" s="533"/>
      <c r="P18" s="455">
        <f>H18*0.07</f>
        <v>444.50000000000006</v>
      </c>
      <c r="Q18" s="437">
        <f>H18*0.11</f>
        <v>698.5</v>
      </c>
      <c r="R18" s="113"/>
      <c r="S18" s="437">
        <f t="shared" si="5"/>
        <v>1214.5</v>
      </c>
      <c r="T18" s="542">
        <f>K18-S18</f>
        <v>5135.5</v>
      </c>
      <c r="U18" s="95"/>
      <c r="W18" s="80"/>
      <c r="Z18" s="79">
        <f t="shared" si="7"/>
        <v>0</v>
      </c>
    </row>
    <row r="19" spans="1:29" s="114" customFormat="1" ht="30" customHeight="1">
      <c r="A19" s="92">
        <v>13</v>
      </c>
      <c r="B19" s="440" t="s">
        <v>78</v>
      </c>
      <c r="C19" s="3" t="s">
        <v>79</v>
      </c>
      <c r="D19" s="549">
        <v>5850</v>
      </c>
      <c r="E19" s="93">
        <v>30</v>
      </c>
      <c r="F19" s="93">
        <v>0</v>
      </c>
      <c r="G19" s="93">
        <f t="shared" si="0"/>
        <v>30</v>
      </c>
      <c r="H19" s="549">
        <f t="shared" si="8"/>
        <v>5850</v>
      </c>
      <c r="I19" s="126"/>
      <c r="J19" s="93"/>
      <c r="K19" s="437">
        <f t="shared" si="9"/>
        <v>5850</v>
      </c>
      <c r="L19" s="437">
        <f t="shared" si="1"/>
        <v>5850</v>
      </c>
      <c r="M19" s="129">
        <f t="shared" si="2"/>
        <v>670</v>
      </c>
      <c r="N19" s="364"/>
      <c r="O19" s="364"/>
      <c r="P19" s="455">
        <f t="shared" si="3"/>
        <v>409.50000000000006</v>
      </c>
      <c r="Q19" s="437">
        <f t="shared" si="4"/>
        <v>643.5</v>
      </c>
      <c r="R19" s="113"/>
      <c r="S19" s="437">
        <f>M19+N19+O19+P19</f>
        <v>1079.5</v>
      </c>
      <c r="T19" s="542">
        <f t="shared" si="6"/>
        <v>4770.5</v>
      </c>
      <c r="U19" s="95"/>
      <c r="W19" s="115"/>
      <c r="Z19" s="114">
        <f t="shared" si="7"/>
        <v>0</v>
      </c>
    </row>
    <row r="20" spans="1:29" s="114" customFormat="1" ht="31.5" customHeight="1">
      <c r="A20" s="92">
        <v>14</v>
      </c>
      <c r="B20" s="440" t="s">
        <v>80</v>
      </c>
      <c r="C20" s="106" t="s">
        <v>185</v>
      </c>
      <c r="D20" s="549">
        <v>9253</v>
      </c>
      <c r="E20" s="93">
        <v>30</v>
      </c>
      <c r="F20" s="273">
        <v>1</v>
      </c>
      <c r="G20" s="273">
        <f t="shared" si="0"/>
        <v>29</v>
      </c>
      <c r="H20" s="549">
        <f t="shared" si="8"/>
        <v>8944.5666666666675</v>
      </c>
      <c r="I20" s="126"/>
      <c r="J20" s="93"/>
      <c r="K20" s="437">
        <f t="shared" si="9"/>
        <v>8944.5666666666675</v>
      </c>
      <c r="L20" s="437">
        <f t="shared" si="1"/>
        <v>8944.5666666666675</v>
      </c>
      <c r="M20" s="129">
        <f t="shared" si="2"/>
        <v>1386.1416666666669</v>
      </c>
      <c r="N20" s="364"/>
      <c r="O20" s="364"/>
      <c r="P20" s="455">
        <f t="shared" si="3"/>
        <v>626.11966666666683</v>
      </c>
      <c r="Q20" s="437">
        <f t="shared" si="4"/>
        <v>983.90233333333344</v>
      </c>
      <c r="R20" s="113"/>
      <c r="S20" s="437">
        <f t="shared" si="5"/>
        <v>2012.2613333333338</v>
      </c>
      <c r="T20" s="542">
        <f t="shared" si="6"/>
        <v>6932.3053333333337</v>
      </c>
      <c r="U20" s="95"/>
      <c r="W20" s="115"/>
      <c r="Z20" s="114">
        <f t="shared" si="7"/>
        <v>0</v>
      </c>
    </row>
    <row r="21" spans="1:29" s="114" customFormat="1" ht="36.75" customHeight="1">
      <c r="A21" s="92">
        <v>15</v>
      </c>
      <c r="B21" s="440" t="s">
        <v>81</v>
      </c>
      <c r="C21" s="106" t="s">
        <v>185</v>
      </c>
      <c r="D21" s="549">
        <v>9253</v>
      </c>
      <c r="E21" s="93">
        <v>30</v>
      </c>
      <c r="F21" s="89">
        <v>0</v>
      </c>
      <c r="G21" s="89">
        <f t="shared" si="0"/>
        <v>30</v>
      </c>
      <c r="H21" s="549">
        <f t="shared" si="8"/>
        <v>9253</v>
      </c>
      <c r="I21" s="126"/>
      <c r="J21" s="93"/>
      <c r="K21" s="437">
        <f t="shared" si="9"/>
        <v>9253</v>
      </c>
      <c r="L21" s="437">
        <f t="shared" si="1"/>
        <v>9253</v>
      </c>
      <c r="M21" s="129">
        <f t="shared" si="2"/>
        <v>1463.25</v>
      </c>
      <c r="N21" s="533"/>
      <c r="O21" s="533"/>
      <c r="P21" s="455">
        <f t="shared" si="3"/>
        <v>647.71</v>
      </c>
      <c r="Q21" s="437">
        <f t="shared" si="4"/>
        <v>1017.83</v>
      </c>
      <c r="R21" s="113"/>
      <c r="S21" s="437">
        <f t="shared" si="5"/>
        <v>2110.96</v>
      </c>
      <c r="T21" s="542">
        <f t="shared" si="6"/>
        <v>7142.04</v>
      </c>
      <c r="U21" s="95"/>
      <c r="W21" s="115"/>
    </row>
    <row r="22" spans="1:29" s="79" customFormat="1" ht="33" customHeight="1">
      <c r="A22" s="92">
        <v>16</v>
      </c>
      <c r="B22" s="440" t="s">
        <v>82</v>
      </c>
      <c r="C22" s="3" t="s">
        <v>79</v>
      </c>
      <c r="D22" s="551">
        <v>6956.12</v>
      </c>
      <c r="E22" s="93">
        <v>30</v>
      </c>
      <c r="F22" s="93">
        <v>0</v>
      </c>
      <c r="G22" s="93">
        <f t="shared" si="0"/>
        <v>30</v>
      </c>
      <c r="H22" s="549">
        <f t="shared" si="8"/>
        <v>6956.12</v>
      </c>
      <c r="I22" s="107"/>
      <c r="J22" s="93"/>
      <c r="K22" s="437">
        <f t="shared" si="9"/>
        <v>6956.12</v>
      </c>
      <c r="L22" s="437">
        <f t="shared" si="1"/>
        <v>6956.12</v>
      </c>
      <c r="M22" s="129">
        <f t="shared" si="2"/>
        <v>891.22400000000016</v>
      </c>
      <c r="N22" s="533"/>
      <c r="O22" s="535">
        <v>2300</v>
      </c>
      <c r="P22" s="455">
        <f>H22*0.07</f>
        <v>486.92840000000001</v>
      </c>
      <c r="Q22" s="437">
        <f t="shared" si="4"/>
        <v>765.17319999999995</v>
      </c>
      <c r="R22" s="113"/>
      <c r="S22" s="437">
        <f t="shared" si="5"/>
        <v>3678.1523999999999</v>
      </c>
      <c r="T22" s="542">
        <f>K22-S22</f>
        <v>3277.9675999999999</v>
      </c>
      <c r="U22" s="90"/>
      <c r="W22" s="80"/>
      <c r="Z22" s="79">
        <f t="shared" si="7"/>
        <v>0</v>
      </c>
      <c r="AC22" s="79" t="s">
        <v>436</v>
      </c>
    </row>
    <row r="23" spans="1:29" s="79" customFormat="1" ht="35.25" customHeight="1">
      <c r="A23" s="92">
        <v>17</v>
      </c>
      <c r="B23" s="440" t="s">
        <v>83</v>
      </c>
      <c r="C23" s="106" t="s">
        <v>185</v>
      </c>
      <c r="D23" s="551">
        <v>9112</v>
      </c>
      <c r="E23" s="93">
        <v>30</v>
      </c>
      <c r="F23" s="93">
        <v>0</v>
      </c>
      <c r="G23" s="93">
        <f t="shared" si="0"/>
        <v>30</v>
      </c>
      <c r="H23" s="549">
        <f t="shared" si="8"/>
        <v>9112</v>
      </c>
      <c r="I23" s="107"/>
      <c r="J23" s="93"/>
      <c r="K23" s="437">
        <f t="shared" si="9"/>
        <v>9112</v>
      </c>
      <c r="L23" s="437">
        <f t="shared" si="1"/>
        <v>9112</v>
      </c>
      <c r="M23" s="129">
        <f t="shared" si="2"/>
        <v>1428</v>
      </c>
      <c r="N23" s="535"/>
      <c r="O23" s="533">
        <v>2500</v>
      </c>
      <c r="P23" s="455">
        <f t="shared" si="3"/>
        <v>637.84</v>
      </c>
      <c r="Q23" s="437">
        <f t="shared" si="4"/>
        <v>1002.32</v>
      </c>
      <c r="R23" s="113"/>
      <c r="S23" s="437">
        <f t="shared" si="5"/>
        <v>4565.84</v>
      </c>
      <c r="T23" s="542">
        <f t="shared" si="6"/>
        <v>4546.16</v>
      </c>
      <c r="U23" s="95"/>
      <c r="W23" s="80"/>
      <c r="Z23" s="79">
        <f t="shared" si="7"/>
        <v>0</v>
      </c>
    </row>
    <row r="24" spans="1:29" s="79" customFormat="1" ht="31.5" customHeight="1">
      <c r="A24" s="92">
        <v>18</v>
      </c>
      <c r="B24" s="440" t="s">
        <v>84</v>
      </c>
      <c r="C24" s="106" t="s">
        <v>185</v>
      </c>
      <c r="D24" s="551">
        <v>9665.84</v>
      </c>
      <c r="E24" s="93">
        <v>30</v>
      </c>
      <c r="F24" s="93">
        <v>0</v>
      </c>
      <c r="G24" s="93">
        <f t="shared" si="0"/>
        <v>30</v>
      </c>
      <c r="H24" s="549">
        <f t="shared" si="8"/>
        <v>9665.84</v>
      </c>
      <c r="I24" s="107"/>
      <c r="J24" s="93"/>
      <c r="K24" s="437">
        <f t="shared" si="9"/>
        <v>9665.84</v>
      </c>
      <c r="L24" s="437">
        <f t="shared" si="1"/>
        <v>9665.84</v>
      </c>
      <c r="M24" s="129">
        <f t="shared" si="2"/>
        <v>1566.46</v>
      </c>
      <c r="N24" s="364"/>
      <c r="O24" s="364"/>
      <c r="P24" s="455">
        <f t="shared" si="3"/>
        <v>676.60880000000009</v>
      </c>
      <c r="Q24" s="437">
        <f t="shared" si="4"/>
        <v>1063.2424000000001</v>
      </c>
      <c r="R24" s="113"/>
      <c r="S24" s="437">
        <f t="shared" si="5"/>
        <v>2243.0688</v>
      </c>
      <c r="T24" s="542">
        <f t="shared" si="6"/>
        <v>7422.7712000000001</v>
      </c>
      <c r="U24" s="90"/>
      <c r="W24" s="80"/>
      <c r="Z24" s="79">
        <f t="shared" si="7"/>
        <v>0</v>
      </c>
    </row>
    <row r="25" spans="1:29" s="114" customFormat="1" ht="30" customHeight="1">
      <c r="A25" s="92">
        <v>19</v>
      </c>
      <c r="B25" s="437" t="s">
        <v>86</v>
      </c>
      <c r="C25" s="3" t="s">
        <v>79</v>
      </c>
      <c r="D25" s="549">
        <v>5600</v>
      </c>
      <c r="E25" s="93">
        <v>30</v>
      </c>
      <c r="F25" s="93">
        <v>0</v>
      </c>
      <c r="G25" s="93">
        <f t="shared" si="0"/>
        <v>30</v>
      </c>
      <c r="H25" s="549">
        <f t="shared" si="8"/>
        <v>5600</v>
      </c>
      <c r="I25" s="126"/>
      <c r="J25" s="93"/>
      <c r="K25" s="437">
        <f t="shared" si="9"/>
        <v>5600</v>
      </c>
      <c r="L25" s="437">
        <f t="shared" si="1"/>
        <v>5600</v>
      </c>
      <c r="M25" s="129">
        <f t="shared" si="2"/>
        <v>620</v>
      </c>
      <c r="N25" s="364"/>
      <c r="O25" s="533"/>
      <c r="P25" s="455">
        <f t="shared" si="3"/>
        <v>392.00000000000006</v>
      </c>
      <c r="Q25" s="437">
        <f t="shared" si="4"/>
        <v>616</v>
      </c>
      <c r="R25" s="113"/>
      <c r="S25" s="437">
        <f t="shared" si="5"/>
        <v>1012</v>
      </c>
      <c r="T25" s="542">
        <f t="shared" si="6"/>
        <v>4588</v>
      </c>
      <c r="U25" s="90"/>
      <c r="W25" s="115"/>
      <c r="Z25" s="114">
        <f t="shared" si="7"/>
        <v>0</v>
      </c>
    </row>
    <row r="26" spans="1:29" s="114" customFormat="1" ht="27" customHeight="1" thickBot="1">
      <c r="A26" s="92">
        <v>20</v>
      </c>
      <c r="B26" s="441" t="s">
        <v>87</v>
      </c>
      <c r="C26" s="2" t="s">
        <v>85</v>
      </c>
      <c r="D26" s="552">
        <v>8500</v>
      </c>
      <c r="E26" s="133">
        <v>30</v>
      </c>
      <c r="F26" s="273">
        <v>1</v>
      </c>
      <c r="G26" s="273">
        <f t="shared" si="0"/>
        <v>29</v>
      </c>
      <c r="H26" s="549">
        <f t="shared" si="8"/>
        <v>8216.6666666666661</v>
      </c>
      <c r="I26" s="206"/>
      <c r="J26" s="361"/>
      <c r="K26" s="437">
        <f t="shared" si="9"/>
        <v>8216.6666666666661</v>
      </c>
      <c r="L26" s="438">
        <f t="shared" si="1"/>
        <v>8216.6666666666661</v>
      </c>
      <c r="M26" s="129">
        <f t="shared" si="2"/>
        <v>1204.1666666666665</v>
      </c>
      <c r="N26" s="534"/>
      <c r="O26" s="533"/>
      <c r="P26" s="456">
        <f t="shared" si="3"/>
        <v>575.16666666666663</v>
      </c>
      <c r="Q26" s="438">
        <f t="shared" si="4"/>
        <v>903.83333333333326</v>
      </c>
      <c r="R26" s="360"/>
      <c r="S26" s="437">
        <f>M26+N26+O26+P26</f>
        <v>1779.333333333333</v>
      </c>
      <c r="T26" s="543">
        <f t="shared" si="6"/>
        <v>6437.333333333333</v>
      </c>
      <c r="U26" s="362"/>
      <c r="W26" s="115"/>
      <c r="Z26" s="114">
        <f t="shared" si="7"/>
        <v>0</v>
      </c>
    </row>
    <row r="27" spans="1:29" s="114" customFormat="1" ht="30.75" customHeight="1" thickTop="1">
      <c r="A27" s="92">
        <v>21</v>
      </c>
      <c r="B27" s="442" t="s">
        <v>88</v>
      </c>
      <c r="C27" s="3" t="s">
        <v>79</v>
      </c>
      <c r="D27" s="549">
        <v>4500</v>
      </c>
      <c r="E27" s="93">
        <v>30</v>
      </c>
      <c r="F27" s="93">
        <v>0</v>
      </c>
      <c r="G27" s="93">
        <f t="shared" si="0"/>
        <v>30</v>
      </c>
      <c r="H27" s="549">
        <f t="shared" si="8"/>
        <v>4500</v>
      </c>
      <c r="I27" s="126"/>
      <c r="J27" s="192"/>
      <c r="K27" s="437">
        <f t="shared" si="9"/>
        <v>4500</v>
      </c>
      <c r="L27" s="450">
        <f t="shared" si="1"/>
        <v>4500</v>
      </c>
      <c r="M27" s="129">
        <f t="shared" si="2"/>
        <v>400</v>
      </c>
      <c r="N27" s="534"/>
      <c r="O27" s="364"/>
      <c r="P27" s="455">
        <f t="shared" si="3"/>
        <v>315.00000000000006</v>
      </c>
      <c r="Q27" s="450">
        <f t="shared" si="4"/>
        <v>495</v>
      </c>
      <c r="R27" s="443"/>
      <c r="S27" s="437">
        <f t="shared" si="5"/>
        <v>715</v>
      </c>
      <c r="T27" s="544">
        <f t="shared" si="6"/>
        <v>3785</v>
      </c>
      <c r="U27" s="158"/>
      <c r="W27" s="115"/>
    </row>
    <row r="28" spans="1:29" s="114" customFormat="1" ht="16.5" hidden="1" customHeight="1" thickBot="1">
      <c r="A28" s="157"/>
      <c r="B28" s="442"/>
      <c r="C28" s="98"/>
      <c r="D28" s="553"/>
      <c r="E28" s="93">
        <v>30</v>
      </c>
      <c r="F28" s="198"/>
      <c r="G28" s="93">
        <f t="shared" si="0"/>
        <v>30</v>
      </c>
      <c r="H28" s="549">
        <f t="shared" si="8"/>
        <v>0</v>
      </c>
      <c r="I28" s="367">
        <f>SUM(I7:I27)</f>
        <v>0</v>
      </c>
      <c r="J28" s="192"/>
      <c r="K28" s="437">
        <f t="shared" si="9"/>
        <v>0</v>
      </c>
      <c r="L28" s="450">
        <f t="shared" si="1"/>
        <v>0</v>
      </c>
      <c r="M28" s="129">
        <f t="shared" si="2"/>
        <v>0</v>
      </c>
      <c r="N28" s="539"/>
      <c r="O28" s="540"/>
      <c r="P28" s="455">
        <f t="shared" si="3"/>
        <v>0</v>
      </c>
      <c r="Q28" s="450">
        <f t="shared" si="4"/>
        <v>0</v>
      </c>
      <c r="R28" s="443"/>
      <c r="S28" s="437">
        <f t="shared" si="5"/>
        <v>0</v>
      </c>
      <c r="T28" s="544">
        <f t="shared" si="6"/>
        <v>0</v>
      </c>
      <c r="U28" s="158"/>
      <c r="W28" s="115"/>
    </row>
    <row r="29" spans="1:29" s="369" customFormat="1" ht="31.5" customHeight="1">
      <c r="A29" s="364">
        <v>22</v>
      </c>
      <c r="B29" s="437" t="s">
        <v>454</v>
      </c>
      <c r="C29" s="3" t="s">
        <v>453</v>
      </c>
      <c r="D29" s="554">
        <v>4900</v>
      </c>
      <c r="E29" s="93">
        <v>30</v>
      </c>
      <c r="F29" s="93">
        <v>0</v>
      </c>
      <c r="G29" s="93">
        <v>30</v>
      </c>
      <c r="H29" s="549">
        <v>4900</v>
      </c>
      <c r="I29" s="126"/>
      <c r="J29" s="93">
        <v>600</v>
      </c>
      <c r="K29" s="437">
        <f t="shared" si="9"/>
        <v>5500</v>
      </c>
      <c r="L29" s="450">
        <f t="shared" si="1"/>
        <v>4900</v>
      </c>
      <c r="M29" s="129">
        <f t="shared" si="2"/>
        <v>480</v>
      </c>
      <c r="N29" s="533"/>
      <c r="O29" s="364"/>
      <c r="P29" s="455">
        <f t="shared" si="3"/>
        <v>343.00000000000006</v>
      </c>
      <c r="Q29" s="450">
        <f t="shared" si="4"/>
        <v>539</v>
      </c>
      <c r="R29" s="113"/>
      <c r="S29" s="437">
        <f t="shared" si="5"/>
        <v>823</v>
      </c>
      <c r="T29" s="544">
        <f t="shared" si="6"/>
        <v>4677</v>
      </c>
      <c r="U29" s="276"/>
      <c r="W29" s="370"/>
    </row>
    <row r="30" spans="1:29" ht="29.25" customHeight="1" thickBot="1">
      <c r="A30" s="61"/>
      <c r="B30" s="473" t="s">
        <v>4</v>
      </c>
      <c r="C30" s="368"/>
      <c r="D30" s="451">
        <f>SUM(D7:D29)</f>
        <v>185638.94999999998</v>
      </c>
      <c r="E30" s="55"/>
      <c r="F30" s="55"/>
      <c r="G30" s="55"/>
      <c r="H30" s="54">
        <f>SUM(H7:H29)</f>
        <v>185047.18333333329</v>
      </c>
      <c r="I30" s="54">
        <f>SUM(I28)</f>
        <v>0</v>
      </c>
      <c r="J30" s="546">
        <f t="shared" ref="J30:P30" si="10">SUM(J7:J29)</f>
        <v>3600</v>
      </c>
      <c r="K30" s="547">
        <f t="shared" si="10"/>
        <v>188647.18333333329</v>
      </c>
      <c r="L30" s="547">
        <f t="shared" si="10"/>
        <v>185047.18333333329</v>
      </c>
      <c r="M30" s="547">
        <f t="shared" si="10"/>
        <v>28506.379833333336</v>
      </c>
      <c r="N30" s="548">
        <f t="shared" si="10"/>
        <v>2500</v>
      </c>
      <c r="O30" s="545">
        <f t="shared" si="10"/>
        <v>8850</v>
      </c>
      <c r="P30" s="547">
        <f t="shared" si="10"/>
        <v>12953.302833333335</v>
      </c>
      <c r="Q30" s="458">
        <f>SUM(Q7:R29)</f>
        <v>20355.190166666664</v>
      </c>
      <c r="R30" s="546">
        <f>SUM(R7:R26)</f>
        <v>0</v>
      </c>
      <c r="S30" s="547">
        <f>SUM(S7:S29)</f>
        <v>52809.682666666675</v>
      </c>
      <c r="T30" s="547">
        <f>SUM(T7:T29)</f>
        <v>135837.50066666666</v>
      </c>
      <c r="U30" s="62"/>
    </row>
    <row r="31" spans="1:29" ht="21.5" thickTop="1">
      <c r="A31" s="56"/>
      <c r="B31" s="384"/>
      <c r="C31" s="384"/>
      <c r="D31" s="384"/>
      <c r="E31" s="384"/>
      <c r="F31" s="384"/>
      <c r="G31" s="384"/>
      <c r="H31" s="384"/>
      <c r="I31" s="384"/>
      <c r="J31" s="384"/>
      <c r="K31" s="384"/>
      <c r="L31" s="384"/>
      <c r="M31" s="384"/>
      <c r="N31" s="541"/>
      <c r="O31" s="541"/>
      <c r="P31" s="384"/>
      <c r="Q31" s="384"/>
      <c r="R31" s="384"/>
      <c r="S31" s="384"/>
      <c r="T31" s="384"/>
      <c r="U31" s="531"/>
    </row>
    <row r="32" spans="1:29" s="141" customFormat="1" ht="21">
      <c r="A32" s="137"/>
      <c r="B32" s="255" t="s">
        <v>180</v>
      </c>
      <c r="C32" s="255"/>
      <c r="D32" s="255"/>
      <c r="E32" s="255"/>
      <c r="F32" s="255"/>
      <c r="G32" s="255"/>
      <c r="H32" s="255"/>
      <c r="I32" s="255"/>
      <c r="J32" s="256"/>
      <c r="K32" s="255"/>
      <c r="L32" s="255"/>
      <c r="M32" s="257"/>
      <c r="N32" s="257"/>
      <c r="O32" s="257"/>
      <c r="P32" s="257" t="s">
        <v>179</v>
      </c>
      <c r="Q32" s="257"/>
      <c r="R32" s="532"/>
      <c r="S32" s="384"/>
      <c r="T32" s="384"/>
      <c r="U32" s="531"/>
    </row>
    <row r="33" spans="1:22" s="141" customFormat="1" ht="21">
      <c r="A33" s="137"/>
      <c r="B33" s="255" t="s">
        <v>5</v>
      </c>
      <c r="C33" s="255"/>
      <c r="D33" s="255"/>
      <c r="E33" s="255"/>
      <c r="F33" s="255"/>
      <c r="G33" s="255"/>
      <c r="H33" s="255"/>
      <c r="I33" s="255"/>
      <c r="J33" s="255"/>
      <c r="K33" s="255"/>
      <c r="L33" s="255"/>
      <c r="M33" s="255"/>
      <c r="N33" s="255"/>
      <c r="O33" s="255"/>
      <c r="P33" s="255" t="s">
        <v>0</v>
      </c>
      <c r="Q33" s="255"/>
      <c r="R33" s="532"/>
      <c r="S33" s="384"/>
      <c r="T33" s="384"/>
      <c r="U33" s="531"/>
    </row>
    <row r="34" spans="1:22" s="141" customFormat="1" ht="21">
      <c r="A34" s="142"/>
      <c r="B34" s="255"/>
      <c r="C34" s="255"/>
      <c r="D34" s="255"/>
      <c r="E34" s="255"/>
      <c r="F34" s="255"/>
      <c r="G34" s="255"/>
      <c r="H34" s="255"/>
      <c r="I34" s="255"/>
      <c r="J34" s="255"/>
      <c r="K34" s="255"/>
      <c r="L34" s="255"/>
      <c r="M34" s="255"/>
      <c r="N34" s="255"/>
      <c r="O34" s="255"/>
      <c r="P34" s="255"/>
      <c r="Q34" s="255"/>
      <c r="R34" s="532"/>
      <c r="S34" s="384"/>
      <c r="T34" s="384"/>
      <c r="U34" s="531"/>
      <c r="V34" s="141" t="s">
        <v>7</v>
      </c>
    </row>
    <row r="35" spans="1:22" ht="15.5">
      <c r="A35" s="6"/>
      <c r="B35" s="7"/>
      <c r="C35" s="7"/>
      <c r="D35" s="7"/>
      <c r="E35" s="7"/>
      <c r="F35" s="7"/>
      <c r="G35" s="7"/>
      <c r="H35" s="7"/>
      <c r="I35" s="7"/>
      <c r="J35" s="7"/>
      <c r="K35" s="7"/>
      <c r="L35" s="13"/>
      <c r="M35" s="13"/>
      <c r="N35" s="13"/>
      <c r="O35" s="13"/>
      <c r="P35" s="14"/>
      <c r="Q35" s="14"/>
      <c r="R35" s="14"/>
      <c r="S35" s="7"/>
      <c r="T35" s="21"/>
    </row>
    <row r="36" spans="1:22" ht="15.5">
      <c r="A36" s="6"/>
      <c r="B36" s="7"/>
      <c r="C36" s="7"/>
      <c r="D36" s="7"/>
      <c r="E36" s="7"/>
      <c r="F36" s="7"/>
      <c r="G36" s="7"/>
      <c r="H36" s="7"/>
      <c r="I36" s="7"/>
      <c r="J36" s="7"/>
      <c r="K36" s="7"/>
      <c r="L36" s="13"/>
      <c r="M36" s="13"/>
      <c r="N36" s="13"/>
      <c r="O36" s="13" t="s">
        <v>7</v>
      </c>
      <c r="P36" s="14"/>
      <c r="Q36" s="14"/>
      <c r="R36" s="14"/>
      <c r="S36" s="7"/>
      <c r="T36" s="21"/>
    </row>
    <row r="39" spans="1:22">
      <c r="V39" s="5" t="s">
        <v>8</v>
      </c>
    </row>
    <row r="41" spans="1:22">
      <c r="H41" s="22"/>
      <c r="I41" s="22"/>
    </row>
    <row r="45" spans="1:22">
      <c r="N45" s="22"/>
    </row>
    <row r="48" spans="1:22">
      <c r="K48" s="16"/>
    </row>
  </sheetData>
  <mergeCells count="14">
    <mergeCell ref="A2:U2"/>
    <mergeCell ref="H5:J5"/>
    <mergeCell ref="M5:Q5"/>
    <mergeCell ref="A5:A6"/>
    <mergeCell ref="B5:B6"/>
    <mergeCell ref="C5:C6"/>
    <mergeCell ref="E5:E6"/>
    <mergeCell ref="K5:K6"/>
    <mergeCell ref="L5:L6"/>
    <mergeCell ref="S5:S6"/>
    <mergeCell ref="T5:T6"/>
    <mergeCell ref="U3:U4"/>
    <mergeCell ref="U5:U6"/>
    <mergeCell ref="A3:T4"/>
  </mergeCells>
  <pageMargins left="0.35" right="0.69930555555555596" top="0.75" bottom="0.75" header="0.3" footer="0.3"/>
  <pageSetup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A73"/>
  <sheetViews>
    <sheetView view="pageBreakPreview" zoomScale="70" zoomScaleNormal="80" zoomScaleSheetLayoutView="70" workbookViewId="0">
      <selection activeCell="Q7" sqref="Q7:R45"/>
    </sheetView>
  </sheetViews>
  <sheetFormatPr defaultColWidth="9.1796875" defaultRowHeight="14.5"/>
  <cols>
    <col min="1" max="1" width="5.81640625" style="4" customWidth="1"/>
    <col min="2" max="2" width="33.7265625" style="5" customWidth="1"/>
    <col min="3" max="3" width="8.453125" style="5" customWidth="1"/>
    <col min="4" max="4" width="15" style="5" customWidth="1"/>
    <col min="5" max="5" width="9" style="5" bestFit="1" customWidth="1"/>
    <col min="6" max="6" width="14.26953125" style="5" customWidth="1"/>
    <col min="7" max="7" width="8.1796875" style="5" customWidth="1"/>
    <col min="8" max="8" width="7" style="5" customWidth="1"/>
    <col min="9" max="9" width="9.7265625" style="5" customWidth="1"/>
    <col min="10" max="10" width="14.7265625" style="5" customWidth="1"/>
    <col min="11" max="11" width="18.453125" style="5" customWidth="1"/>
    <col min="12" max="12" width="17.26953125" style="5" customWidth="1"/>
    <col min="13" max="13" width="9.81640625" style="5" customWidth="1"/>
    <col min="14" max="14" width="10.81640625" style="5" customWidth="1"/>
    <col min="15" max="15" width="9.1796875" style="5" customWidth="1"/>
    <col min="16" max="16" width="10.453125" style="5" customWidth="1"/>
    <col min="17" max="17" width="15" style="5" customWidth="1"/>
    <col min="18" max="18" width="13.81640625" style="5" customWidth="1"/>
    <col min="19" max="19" width="12.26953125" style="5" hidden="1" customWidth="1"/>
    <col min="20" max="20" width="16" style="5" customWidth="1"/>
    <col min="21" max="21" width="17.54296875" style="5" customWidth="1"/>
    <col min="22" max="22" width="7" style="5" customWidth="1"/>
    <col min="23" max="23" width="12.26953125" style="5" customWidth="1"/>
    <col min="24" max="24" width="11.54296875" style="5" customWidth="1"/>
    <col min="25" max="25" width="9.54296875" style="5" customWidth="1"/>
    <col min="26" max="27" width="10.54296875" style="5" customWidth="1"/>
    <col min="28" max="16384" width="9.1796875" style="5"/>
  </cols>
  <sheetData>
    <row r="1" spans="1:27" ht="23.25" customHeight="1">
      <c r="A1" s="49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50"/>
      <c r="T1" s="50"/>
      <c r="U1" s="50"/>
      <c r="V1" s="50"/>
    </row>
    <row r="2" spans="1:27" ht="23.25" customHeight="1" thickBot="1">
      <c r="A2" s="727" t="s">
        <v>482</v>
      </c>
      <c r="B2" s="727"/>
      <c r="C2" s="727"/>
      <c r="D2" s="727"/>
      <c r="E2" s="727"/>
      <c r="F2" s="727"/>
      <c r="G2" s="727"/>
      <c r="H2" s="727"/>
      <c r="I2" s="727"/>
      <c r="J2" s="727"/>
      <c r="K2" s="727"/>
      <c r="L2" s="727"/>
      <c r="M2" s="727"/>
      <c r="N2" s="727"/>
      <c r="O2" s="727"/>
      <c r="P2" s="727"/>
      <c r="Q2" s="727"/>
      <c r="R2" s="727"/>
      <c r="S2" s="727"/>
      <c r="T2" s="727"/>
      <c r="U2" s="727"/>
      <c r="V2" s="727"/>
    </row>
    <row r="3" spans="1:27" ht="23.25" customHeight="1">
      <c r="A3" s="747" t="s">
        <v>486</v>
      </c>
      <c r="B3" s="748"/>
      <c r="C3" s="748"/>
      <c r="D3" s="748"/>
      <c r="E3" s="748"/>
      <c r="F3" s="748"/>
      <c r="G3" s="748"/>
      <c r="H3" s="748"/>
      <c r="I3" s="748"/>
      <c r="J3" s="748"/>
      <c r="K3" s="748"/>
      <c r="L3" s="748"/>
      <c r="M3" s="748"/>
      <c r="N3" s="748"/>
      <c r="O3" s="748"/>
      <c r="P3" s="748"/>
      <c r="Q3" s="748"/>
      <c r="R3" s="748"/>
      <c r="S3" s="748"/>
      <c r="T3" s="748"/>
      <c r="U3" s="749"/>
      <c r="V3" s="743"/>
    </row>
    <row r="4" spans="1:27" ht="5.25" customHeight="1">
      <c r="A4" s="750"/>
      <c r="B4" s="751"/>
      <c r="C4" s="751"/>
      <c r="D4" s="751"/>
      <c r="E4" s="751"/>
      <c r="F4" s="751"/>
      <c r="G4" s="751"/>
      <c r="H4" s="751"/>
      <c r="I4" s="751"/>
      <c r="J4" s="751"/>
      <c r="K4" s="751"/>
      <c r="L4" s="751"/>
      <c r="M4" s="751"/>
      <c r="N4" s="751"/>
      <c r="O4" s="751"/>
      <c r="P4" s="751"/>
      <c r="Q4" s="751"/>
      <c r="R4" s="751"/>
      <c r="S4" s="751"/>
      <c r="T4" s="751"/>
      <c r="U4" s="752"/>
      <c r="V4" s="744"/>
    </row>
    <row r="5" spans="1:27" ht="28.5" customHeight="1">
      <c r="A5" s="734" t="s">
        <v>1</v>
      </c>
      <c r="B5" s="736" t="s">
        <v>2</v>
      </c>
      <c r="C5" s="738" t="s">
        <v>10</v>
      </c>
      <c r="D5" s="580"/>
      <c r="E5" s="738" t="s">
        <v>11</v>
      </c>
      <c r="F5" s="728" t="s">
        <v>12</v>
      </c>
      <c r="G5" s="729"/>
      <c r="H5" s="729"/>
      <c r="I5" s="730"/>
      <c r="J5" s="738" t="s">
        <v>13</v>
      </c>
      <c r="K5" s="738" t="s">
        <v>14</v>
      </c>
      <c r="L5" s="731" t="s">
        <v>15</v>
      </c>
      <c r="M5" s="732"/>
      <c r="N5" s="732"/>
      <c r="O5" s="732"/>
      <c r="P5" s="732"/>
      <c r="Q5" s="732"/>
      <c r="R5" s="733"/>
      <c r="S5" s="581"/>
      <c r="T5" s="738" t="s">
        <v>16</v>
      </c>
      <c r="U5" s="742" t="s">
        <v>3</v>
      </c>
      <c r="V5" s="745" t="s">
        <v>0</v>
      </c>
      <c r="X5" s="5" t="s">
        <v>8</v>
      </c>
    </row>
    <row r="6" spans="1:27" ht="48.75" customHeight="1" thickTop="1">
      <c r="A6" s="735"/>
      <c r="B6" s="737"/>
      <c r="C6" s="739"/>
      <c r="D6" s="582" t="s">
        <v>430</v>
      </c>
      <c r="E6" s="740"/>
      <c r="F6" s="582" t="s">
        <v>431</v>
      </c>
      <c r="G6" s="582" t="s">
        <v>89</v>
      </c>
      <c r="H6" s="582" t="s">
        <v>366</v>
      </c>
      <c r="I6" s="582" t="s">
        <v>18</v>
      </c>
      <c r="J6" s="741"/>
      <c r="K6" s="741"/>
      <c r="L6" s="583" t="s">
        <v>22</v>
      </c>
      <c r="M6" s="583" t="s">
        <v>24</v>
      </c>
      <c r="N6" s="583" t="s">
        <v>90</v>
      </c>
      <c r="O6" s="583" t="s">
        <v>23</v>
      </c>
      <c r="P6" s="583" t="s">
        <v>25</v>
      </c>
      <c r="Q6" s="582" t="s">
        <v>27</v>
      </c>
      <c r="R6" s="582" t="s">
        <v>28</v>
      </c>
      <c r="S6" s="581" t="s">
        <v>9</v>
      </c>
      <c r="T6" s="741"/>
      <c r="U6" s="741"/>
      <c r="V6" s="746"/>
      <c r="X6" s="5" t="s">
        <v>8</v>
      </c>
    </row>
    <row r="7" spans="1:27" s="38" customFormat="1" ht="23.25" customHeight="1">
      <c r="A7" s="92">
        <v>1</v>
      </c>
      <c r="B7" s="148" t="s">
        <v>92</v>
      </c>
      <c r="C7" s="2" t="s">
        <v>93</v>
      </c>
      <c r="D7" s="555">
        <v>8322</v>
      </c>
      <c r="E7" s="556">
        <v>30</v>
      </c>
      <c r="F7" s="555">
        <v>8322</v>
      </c>
      <c r="G7" s="557"/>
      <c r="H7" s="557"/>
      <c r="I7" s="558"/>
      <c r="J7" s="438">
        <f>F7+G7+H7+I7</f>
        <v>8322</v>
      </c>
      <c r="K7" s="438">
        <v>8322</v>
      </c>
      <c r="L7" s="143">
        <f>IF(K7&lt;=2000,0,IF(K7&lt;=4000,K7*0.15-300,IF(K7&lt;=7000,K7*0.2-500,IF(K7&lt;=10000,K7*0.25-850,IF(K7&lt;=14000,K7*0.3-1350,IF(K7&gt;14000,K7*0.35-2050))))))</f>
        <v>1230.5</v>
      </c>
      <c r="M7" s="559">
        <v>100</v>
      </c>
      <c r="N7" s="560">
        <v>1400</v>
      </c>
      <c r="O7" s="554"/>
      <c r="P7" s="561"/>
      <c r="Q7" s="448">
        <f t="shared" ref="Q7:Q22" si="0">F7*0.07</f>
        <v>582.54000000000008</v>
      </c>
      <c r="R7" s="438">
        <f t="shared" ref="R7:R22" si="1">F7*0.11</f>
        <v>915.42</v>
      </c>
      <c r="S7" s="438"/>
      <c r="T7" s="438">
        <f>L7+M7+N7+O7+P7+Q7</f>
        <v>3313.04</v>
      </c>
      <c r="U7" s="445">
        <f t="shared" ref="U7:U45" si="2">J7-T7</f>
        <v>5008.96</v>
      </c>
      <c r="V7" s="178"/>
      <c r="X7" s="39">
        <v>79</v>
      </c>
      <c r="Y7" s="38" t="e">
        <f>F7-#REF!</f>
        <v>#REF!</v>
      </c>
      <c r="Z7" s="38" t="e">
        <f t="shared" ref="Z7:Z22" si="3">Y7*X7/100</f>
        <v>#REF!</v>
      </c>
      <c r="AA7" s="38" t="e">
        <f t="shared" ref="AA7:AA22" si="4">Y7-Z7</f>
        <v>#REF!</v>
      </c>
    </row>
    <row r="8" spans="1:27" s="16" customFormat="1" ht="23.25" customHeight="1">
      <c r="A8" s="92">
        <v>2</v>
      </c>
      <c r="B8" s="148" t="s">
        <v>94</v>
      </c>
      <c r="C8" s="2" t="s">
        <v>93</v>
      </c>
      <c r="D8" s="555">
        <v>6889.46</v>
      </c>
      <c r="E8" s="556">
        <v>30</v>
      </c>
      <c r="F8" s="555">
        <v>6889.46</v>
      </c>
      <c r="G8" s="557"/>
      <c r="H8" s="557"/>
      <c r="I8" s="558"/>
      <c r="J8" s="438">
        <f t="shared" ref="J8:J45" si="5">F8+G8+H8+I8</f>
        <v>6889.46</v>
      </c>
      <c r="K8" s="438">
        <f t="shared" ref="K8:K15" si="6">F8</f>
        <v>6889.46</v>
      </c>
      <c r="L8" s="143">
        <f t="shared" ref="L8:L45" si="7">IF(K8&lt;=2000,0,IF(K8&lt;=4000,K8*0.15-300,IF(K8&lt;=7000,K8*0.2-500,IF(K8&lt;=10000,K8*0.25-850,IF(K8&lt;=14000,K8*0.3-1350,IF(K8&gt;14000,K8*0.35-2050))))))</f>
        <v>877.89200000000005</v>
      </c>
      <c r="M8" s="559">
        <v>100</v>
      </c>
      <c r="N8" s="560"/>
      <c r="O8" s="554"/>
      <c r="P8" s="554"/>
      <c r="Q8" s="448">
        <f t="shared" si="0"/>
        <v>482.26220000000006</v>
      </c>
      <c r="R8" s="438">
        <f t="shared" si="1"/>
        <v>757.84059999999999</v>
      </c>
      <c r="S8" s="438"/>
      <c r="T8" s="438">
        <f>L8+M8+N8+O8+P8+Q8</f>
        <v>1460.1542000000002</v>
      </c>
      <c r="U8" s="445">
        <f t="shared" si="2"/>
        <v>5429.3058000000001</v>
      </c>
      <c r="V8" s="83"/>
      <c r="X8" s="20">
        <v>51</v>
      </c>
      <c r="Y8" s="16" t="e">
        <f>F8-#REF!</f>
        <v>#REF!</v>
      </c>
      <c r="Z8" s="16" t="e">
        <f t="shared" si="3"/>
        <v>#REF!</v>
      </c>
      <c r="AA8" s="16" t="e">
        <f t="shared" si="4"/>
        <v>#REF!</v>
      </c>
    </row>
    <row r="9" spans="1:27" s="16" customFormat="1" ht="23.25" customHeight="1">
      <c r="A9" s="92">
        <v>3</v>
      </c>
      <c r="B9" s="148" t="s">
        <v>95</v>
      </c>
      <c r="C9" s="2" t="s">
        <v>91</v>
      </c>
      <c r="D9" s="555">
        <v>5110.79</v>
      </c>
      <c r="E9" s="556">
        <v>30</v>
      </c>
      <c r="F9" s="555">
        <v>5110.79</v>
      </c>
      <c r="G9" s="557"/>
      <c r="H9" s="557"/>
      <c r="I9" s="558"/>
      <c r="J9" s="438">
        <f t="shared" si="5"/>
        <v>5110.79</v>
      </c>
      <c r="K9" s="438">
        <f t="shared" si="6"/>
        <v>5110.79</v>
      </c>
      <c r="L9" s="143">
        <f t="shared" si="7"/>
        <v>522.15800000000002</v>
      </c>
      <c r="M9" s="559">
        <v>100</v>
      </c>
      <c r="N9" s="562"/>
      <c r="O9" s="554"/>
      <c r="P9" s="554"/>
      <c r="Q9" s="448">
        <f t="shared" si="0"/>
        <v>357.75530000000003</v>
      </c>
      <c r="R9" s="438">
        <f t="shared" si="1"/>
        <v>562.18690000000004</v>
      </c>
      <c r="S9" s="438"/>
      <c r="T9" s="438">
        <f t="shared" ref="T9:T34" si="8">L9+M9+N9+O9+P9+Q9</f>
        <v>979.91330000000005</v>
      </c>
      <c r="U9" s="445">
        <f t="shared" si="2"/>
        <v>4130.8766999999998</v>
      </c>
      <c r="V9" s="84"/>
      <c r="X9" s="20">
        <v>84</v>
      </c>
      <c r="Y9" s="16" t="e">
        <f>F9-#REF!</f>
        <v>#REF!</v>
      </c>
      <c r="Z9" s="16" t="e">
        <f t="shared" si="3"/>
        <v>#REF!</v>
      </c>
      <c r="AA9" s="16" t="e">
        <f t="shared" si="4"/>
        <v>#REF!</v>
      </c>
    </row>
    <row r="10" spans="1:27" s="338" customFormat="1" ht="23.25" customHeight="1">
      <c r="A10" s="92">
        <v>4</v>
      </c>
      <c r="B10" s="143" t="s">
        <v>96</v>
      </c>
      <c r="C10" s="3" t="s">
        <v>93</v>
      </c>
      <c r="D10" s="557">
        <v>7585.88</v>
      </c>
      <c r="E10" s="558">
        <v>30</v>
      </c>
      <c r="F10" s="557">
        <v>7585.88</v>
      </c>
      <c r="G10" s="557"/>
      <c r="H10" s="557"/>
      <c r="I10" s="558"/>
      <c r="J10" s="437">
        <f t="shared" si="5"/>
        <v>7585.88</v>
      </c>
      <c r="K10" s="437">
        <f t="shared" si="6"/>
        <v>7585.88</v>
      </c>
      <c r="L10" s="143">
        <f t="shared" si="7"/>
        <v>1046.47</v>
      </c>
      <c r="M10" s="554">
        <v>100</v>
      </c>
      <c r="N10" s="560"/>
      <c r="O10" s="561">
        <v>1800</v>
      </c>
      <c r="P10" s="560"/>
      <c r="Q10" s="447">
        <f t="shared" si="0"/>
        <v>531.01160000000004</v>
      </c>
      <c r="R10" s="437">
        <f t="shared" si="1"/>
        <v>834.44680000000005</v>
      </c>
      <c r="S10" s="437"/>
      <c r="T10" s="437">
        <f t="shared" si="8"/>
        <v>3477.4816000000001</v>
      </c>
      <c r="U10" s="444">
        <f t="shared" si="2"/>
        <v>4108.3984</v>
      </c>
      <c r="V10" s="341"/>
      <c r="W10" s="338" t="s">
        <v>443</v>
      </c>
      <c r="X10" s="339">
        <v>76</v>
      </c>
      <c r="Y10" s="338" t="e">
        <f>F10-#REF!</f>
        <v>#REF!</v>
      </c>
      <c r="Z10" s="338" t="e">
        <f t="shared" si="3"/>
        <v>#REF!</v>
      </c>
      <c r="AA10" s="338" t="e">
        <f t="shared" si="4"/>
        <v>#REF!</v>
      </c>
    </row>
    <row r="11" spans="1:27" s="16" customFormat="1" ht="23.25" customHeight="1">
      <c r="A11" s="92">
        <v>5</v>
      </c>
      <c r="B11" s="148" t="s">
        <v>97</v>
      </c>
      <c r="C11" s="2" t="s">
        <v>93</v>
      </c>
      <c r="D11" s="555">
        <v>7862.5</v>
      </c>
      <c r="E11" s="558">
        <v>30</v>
      </c>
      <c r="F11" s="557">
        <v>7862.5</v>
      </c>
      <c r="G11" s="557"/>
      <c r="H11" s="557"/>
      <c r="I11" s="558"/>
      <c r="J11" s="438">
        <f t="shared" si="5"/>
        <v>7862.5</v>
      </c>
      <c r="K11" s="438">
        <f t="shared" si="6"/>
        <v>7862.5</v>
      </c>
      <c r="L11" s="143">
        <f t="shared" si="7"/>
        <v>1115.625</v>
      </c>
      <c r="M11" s="559">
        <v>100</v>
      </c>
      <c r="N11" s="562"/>
      <c r="O11" s="554"/>
      <c r="P11" s="554"/>
      <c r="Q11" s="448">
        <f t="shared" si="0"/>
        <v>550.375</v>
      </c>
      <c r="R11" s="438">
        <f t="shared" si="1"/>
        <v>864.875</v>
      </c>
      <c r="S11" s="438"/>
      <c r="T11" s="438">
        <f t="shared" si="8"/>
        <v>1766</v>
      </c>
      <c r="U11" s="445">
        <f t="shared" si="2"/>
        <v>6096.5</v>
      </c>
      <c r="V11" s="85"/>
      <c r="X11" s="20">
        <v>90</v>
      </c>
      <c r="Y11" s="16" t="e">
        <f>F11-#REF!</f>
        <v>#REF!</v>
      </c>
      <c r="Z11" s="16" t="e">
        <f t="shared" si="3"/>
        <v>#REF!</v>
      </c>
      <c r="AA11" s="16" t="e">
        <f t="shared" si="4"/>
        <v>#REF!</v>
      </c>
    </row>
    <row r="12" spans="1:27" s="16" customFormat="1" ht="23.25" customHeight="1">
      <c r="A12" s="92">
        <v>6</v>
      </c>
      <c r="B12" s="148" t="s">
        <v>98</v>
      </c>
      <c r="C12" s="2" t="s">
        <v>91</v>
      </c>
      <c r="D12" s="555">
        <v>9210</v>
      </c>
      <c r="E12" s="556">
        <v>30</v>
      </c>
      <c r="F12" s="555">
        <v>9210</v>
      </c>
      <c r="G12" s="557"/>
      <c r="H12" s="557"/>
      <c r="I12" s="558"/>
      <c r="J12" s="438">
        <f t="shared" si="5"/>
        <v>9210</v>
      </c>
      <c r="K12" s="438">
        <f t="shared" si="6"/>
        <v>9210</v>
      </c>
      <c r="L12" s="143">
        <f t="shared" si="7"/>
        <v>1452.5</v>
      </c>
      <c r="M12" s="559">
        <v>100</v>
      </c>
      <c r="N12" s="562"/>
      <c r="O12" s="554"/>
      <c r="P12" s="554"/>
      <c r="Q12" s="448">
        <f t="shared" si="0"/>
        <v>644.70000000000005</v>
      </c>
      <c r="R12" s="438">
        <f t="shared" si="1"/>
        <v>1013.1</v>
      </c>
      <c r="S12" s="438"/>
      <c r="T12" s="438">
        <f t="shared" si="8"/>
        <v>2197.1999999999998</v>
      </c>
      <c r="U12" s="445">
        <f t="shared" si="2"/>
        <v>7012.8</v>
      </c>
      <c r="V12" s="85"/>
      <c r="X12" s="20">
        <v>78</v>
      </c>
      <c r="Y12" s="16" t="e">
        <f>F12-#REF!</f>
        <v>#REF!</v>
      </c>
      <c r="Z12" s="16" t="e">
        <f t="shared" si="3"/>
        <v>#REF!</v>
      </c>
      <c r="AA12" s="16" t="e">
        <f t="shared" si="4"/>
        <v>#REF!</v>
      </c>
    </row>
    <row r="13" spans="1:27" s="16" customFormat="1" ht="23.25" customHeight="1">
      <c r="A13" s="92">
        <v>7</v>
      </c>
      <c r="B13" s="148" t="s">
        <v>99</v>
      </c>
      <c r="C13" s="2" t="s">
        <v>91</v>
      </c>
      <c r="D13" s="555">
        <v>5110.79</v>
      </c>
      <c r="E13" s="556">
        <v>30</v>
      </c>
      <c r="F13" s="555">
        <v>5110.79</v>
      </c>
      <c r="G13" s="557"/>
      <c r="H13" s="557"/>
      <c r="I13" s="558"/>
      <c r="J13" s="438">
        <f t="shared" si="5"/>
        <v>5110.79</v>
      </c>
      <c r="K13" s="438">
        <f t="shared" si="6"/>
        <v>5110.79</v>
      </c>
      <c r="L13" s="143">
        <f t="shared" si="7"/>
        <v>522.15800000000002</v>
      </c>
      <c r="M13" s="559">
        <v>100</v>
      </c>
      <c r="N13" s="562"/>
      <c r="O13" s="554"/>
      <c r="P13" s="554"/>
      <c r="Q13" s="448">
        <f t="shared" si="0"/>
        <v>357.75530000000003</v>
      </c>
      <c r="R13" s="438">
        <f t="shared" si="1"/>
        <v>562.18690000000004</v>
      </c>
      <c r="S13" s="438"/>
      <c r="T13" s="438">
        <f t="shared" si="8"/>
        <v>979.91330000000005</v>
      </c>
      <c r="U13" s="445">
        <f t="shared" si="2"/>
        <v>4130.8766999999998</v>
      </c>
      <c r="V13" s="85"/>
      <c r="X13" s="20">
        <v>80</v>
      </c>
      <c r="Y13" s="16" t="e">
        <f>F13-#REF!</f>
        <v>#REF!</v>
      </c>
      <c r="Z13" s="16" t="e">
        <f t="shared" si="3"/>
        <v>#REF!</v>
      </c>
      <c r="AA13" s="16" t="e">
        <f t="shared" si="4"/>
        <v>#REF!</v>
      </c>
    </row>
    <row r="14" spans="1:27" s="79" customFormat="1" ht="24" customHeight="1">
      <c r="A14" s="92">
        <v>8</v>
      </c>
      <c r="B14" s="149" t="s">
        <v>100</v>
      </c>
      <c r="C14" s="2" t="s">
        <v>91</v>
      </c>
      <c r="D14" s="555">
        <v>8084</v>
      </c>
      <c r="E14" s="563">
        <v>30</v>
      </c>
      <c r="F14" s="557">
        <v>8084</v>
      </c>
      <c r="G14" s="564"/>
      <c r="H14" s="564"/>
      <c r="I14" s="565"/>
      <c r="J14" s="438">
        <f t="shared" si="5"/>
        <v>8084</v>
      </c>
      <c r="K14" s="438">
        <f t="shared" si="6"/>
        <v>8084</v>
      </c>
      <c r="L14" s="143">
        <f t="shared" si="7"/>
        <v>1171</v>
      </c>
      <c r="M14" s="559">
        <v>100</v>
      </c>
      <c r="N14" s="560">
        <v>2400</v>
      </c>
      <c r="O14" s="566"/>
      <c r="P14" s="561"/>
      <c r="Q14" s="448">
        <f t="shared" si="0"/>
        <v>565.88000000000011</v>
      </c>
      <c r="R14" s="438">
        <f t="shared" si="1"/>
        <v>889.24</v>
      </c>
      <c r="S14" s="438"/>
      <c r="T14" s="438">
        <f t="shared" si="8"/>
        <v>4236.88</v>
      </c>
      <c r="U14" s="445">
        <f t="shared" si="2"/>
        <v>3847.12</v>
      </c>
      <c r="V14" s="90"/>
      <c r="X14" s="80">
        <v>95</v>
      </c>
      <c r="Y14" s="79" t="e">
        <f>F14-#REF!</f>
        <v>#REF!</v>
      </c>
      <c r="Z14" s="79" t="e">
        <f t="shared" si="3"/>
        <v>#REF!</v>
      </c>
      <c r="AA14" s="79" t="e">
        <f t="shared" si="4"/>
        <v>#REF!</v>
      </c>
    </row>
    <row r="15" spans="1:27" s="16" customFormat="1" ht="23.25" customHeight="1">
      <c r="A15" s="92">
        <v>9</v>
      </c>
      <c r="B15" s="149" t="s">
        <v>101</v>
      </c>
      <c r="C15" s="2" t="s">
        <v>93</v>
      </c>
      <c r="D15" s="555">
        <v>8873.0300000000007</v>
      </c>
      <c r="E15" s="556">
        <v>30</v>
      </c>
      <c r="F15" s="555">
        <v>8873.0300000000007</v>
      </c>
      <c r="G15" s="557"/>
      <c r="H15" s="557"/>
      <c r="I15" s="558"/>
      <c r="J15" s="438">
        <f t="shared" si="5"/>
        <v>8873.0300000000007</v>
      </c>
      <c r="K15" s="438">
        <f t="shared" si="6"/>
        <v>8873.0300000000007</v>
      </c>
      <c r="L15" s="143">
        <f t="shared" si="7"/>
        <v>1368.2575000000002</v>
      </c>
      <c r="M15" s="559">
        <v>100</v>
      </c>
      <c r="N15" s="562"/>
      <c r="O15" s="554"/>
      <c r="P15" s="554"/>
      <c r="Q15" s="448">
        <f t="shared" si="0"/>
        <v>621.11210000000005</v>
      </c>
      <c r="R15" s="438">
        <f t="shared" si="1"/>
        <v>976.03330000000005</v>
      </c>
      <c r="S15" s="438"/>
      <c r="T15" s="438">
        <f t="shared" si="8"/>
        <v>2089.3696</v>
      </c>
      <c r="U15" s="445">
        <f t="shared" si="2"/>
        <v>6783.6604000000007</v>
      </c>
      <c r="V15" s="95"/>
      <c r="X15" s="20">
        <v>88</v>
      </c>
      <c r="Y15" s="16" t="e">
        <f>F15-#REF!</f>
        <v>#REF!</v>
      </c>
      <c r="Z15" s="16" t="e">
        <f t="shared" si="3"/>
        <v>#REF!</v>
      </c>
      <c r="AA15" s="16" t="e">
        <f t="shared" si="4"/>
        <v>#REF!</v>
      </c>
    </row>
    <row r="16" spans="1:27" s="38" customFormat="1" ht="23.25" customHeight="1">
      <c r="A16" s="92">
        <v>10</v>
      </c>
      <c r="B16" s="149" t="s">
        <v>102</v>
      </c>
      <c r="C16" s="2" t="s">
        <v>91</v>
      </c>
      <c r="D16" s="555">
        <v>8376.99</v>
      </c>
      <c r="E16" s="556">
        <v>30</v>
      </c>
      <c r="F16" s="555">
        <v>8376.99</v>
      </c>
      <c r="G16" s="557"/>
      <c r="H16" s="557"/>
      <c r="I16" s="558"/>
      <c r="J16" s="438">
        <f t="shared" si="5"/>
        <v>8376.99</v>
      </c>
      <c r="K16" s="438">
        <v>5776.99</v>
      </c>
      <c r="L16" s="143">
        <f t="shared" si="7"/>
        <v>655.39799999999991</v>
      </c>
      <c r="M16" s="559">
        <v>100</v>
      </c>
      <c r="N16" s="562"/>
      <c r="O16" s="554"/>
      <c r="P16" s="554"/>
      <c r="Q16" s="448">
        <f t="shared" si="0"/>
        <v>586.38930000000005</v>
      </c>
      <c r="R16" s="438">
        <f t="shared" si="1"/>
        <v>921.46889999999996</v>
      </c>
      <c r="S16" s="438"/>
      <c r="T16" s="438">
        <f t="shared" si="8"/>
        <v>1341.7873</v>
      </c>
      <c r="U16" s="445">
        <f t="shared" si="2"/>
        <v>7035.2026999999998</v>
      </c>
      <c r="V16" s="95"/>
      <c r="X16" s="39">
        <v>84</v>
      </c>
      <c r="Y16" s="38" t="e">
        <f>F16-#REF!</f>
        <v>#REF!</v>
      </c>
      <c r="Z16" s="38" t="e">
        <f t="shared" si="3"/>
        <v>#REF!</v>
      </c>
      <c r="AA16" s="38" t="e">
        <f t="shared" si="4"/>
        <v>#REF!</v>
      </c>
    </row>
    <row r="17" spans="1:27" s="16" customFormat="1" ht="23.25" customHeight="1">
      <c r="A17" s="92">
        <v>11</v>
      </c>
      <c r="B17" s="149" t="s">
        <v>103</v>
      </c>
      <c r="C17" s="2" t="s">
        <v>91</v>
      </c>
      <c r="D17" s="555">
        <v>8825.08</v>
      </c>
      <c r="E17" s="556">
        <v>30</v>
      </c>
      <c r="F17" s="555">
        <v>8825.08</v>
      </c>
      <c r="G17" s="557"/>
      <c r="H17" s="557"/>
      <c r="I17" s="558"/>
      <c r="J17" s="438">
        <f t="shared" si="5"/>
        <v>8825.08</v>
      </c>
      <c r="K17" s="438">
        <f t="shared" ref="K17:K23" si="9">F17</f>
        <v>8825.08</v>
      </c>
      <c r="L17" s="143">
        <f t="shared" si="7"/>
        <v>1356.27</v>
      </c>
      <c r="M17" s="559">
        <v>100</v>
      </c>
      <c r="N17" s="562"/>
      <c r="O17" s="554"/>
      <c r="P17" s="561"/>
      <c r="Q17" s="448">
        <f t="shared" si="0"/>
        <v>617.75560000000007</v>
      </c>
      <c r="R17" s="438">
        <f t="shared" si="1"/>
        <v>970.75879999999995</v>
      </c>
      <c r="S17" s="438"/>
      <c r="T17" s="438">
        <f t="shared" si="8"/>
        <v>2074.0255999999999</v>
      </c>
      <c r="U17" s="445">
        <f t="shared" si="2"/>
        <v>6751.0544</v>
      </c>
      <c r="V17" s="95"/>
      <c r="X17" s="20">
        <v>82</v>
      </c>
      <c r="Y17" s="16" t="e">
        <f>F17-#REF!</f>
        <v>#REF!</v>
      </c>
      <c r="Z17" s="16" t="e">
        <f t="shared" si="3"/>
        <v>#REF!</v>
      </c>
      <c r="AA17" s="16" t="e">
        <f t="shared" si="4"/>
        <v>#REF!</v>
      </c>
    </row>
    <row r="18" spans="1:27" s="79" customFormat="1" ht="23.25" customHeight="1">
      <c r="A18" s="92">
        <v>12</v>
      </c>
      <c r="B18" s="149" t="s">
        <v>377</v>
      </c>
      <c r="C18" s="2" t="s">
        <v>93</v>
      </c>
      <c r="D18" s="555">
        <v>2400</v>
      </c>
      <c r="E18" s="556">
        <v>30</v>
      </c>
      <c r="F18" s="555">
        <v>2400</v>
      </c>
      <c r="G18" s="564"/>
      <c r="H18" s="564"/>
      <c r="I18" s="558">
        <v>600</v>
      </c>
      <c r="J18" s="438">
        <f t="shared" si="5"/>
        <v>3000</v>
      </c>
      <c r="K18" s="438">
        <f t="shared" si="9"/>
        <v>2400</v>
      </c>
      <c r="L18" s="143">
        <f t="shared" si="7"/>
        <v>60</v>
      </c>
      <c r="M18" s="559">
        <v>100</v>
      </c>
      <c r="N18" s="562"/>
      <c r="O18" s="561"/>
      <c r="P18" s="561"/>
      <c r="Q18" s="448">
        <f t="shared" si="0"/>
        <v>168.00000000000003</v>
      </c>
      <c r="R18" s="438">
        <f t="shared" si="1"/>
        <v>264</v>
      </c>
      <c r="S18" s="438"/>
      <c r="T18" s="438">
        <f t="shared" si="8"/>
        <v>328</v>
      </c>
      <c r="U18" s="445">
        <f t="shared" si="2"/>
        <v>2672</v>
      </c>
      <c r="V18" s="90"/>
      <c r="X18" s="80">
        <v>88</v>
      </c>
    </row>
    <row r="19" spans="1:27" s="38" customFormat="1" ht="23.25" customHeight="1">
      <c r="A19" s="92">
        <v>13</v>
      </c>
      <c r="B19" s="149" t="s">
        <v>104</v>
      </c>
      <c r="C19" s="2" t="s">
        <v>105</v>
      </c>
      <c r="D19" s="555">
        <v>5500</v>
      </c>
      <c r="E19" s="556">
        <v>30</v>
      </c>
      <c r="F19" s="555">
        <v>5500</v>
      </c>
      <c r="G19" s="557"/>
      <c r="H19" s="557"/>
      <c r="I19" s="558"/>
      <c r="J19" s="438">
        <f t="shared" si="5"/>
        <v>5500</v>
      </c>
      <c r="K19" s="438">
        <f t="shared" si="9"/>
        <v>5500</v>
      </c>
      <c r="L19" s="143">
        <f t="shared" si="7"/>
        <v>600</v>
      </c>
      <c r="M19" s="559">
        <v>100</v>
      </c>
      <c r="N19" s="562"/>
      <c r="O19" s="554"/>
      <c r="P19" s="554"/>
      <c r="Q19" s="448">
        <f t="shared" si="0"/>
        <v>385.00000000000006</v>
      </c>
      <c r="R19" s="438">
        <f t="shared" si="1"/>
        <v>605</v>
      </c>
      <c r="S19" s="438"/>
      <c r="T19" s="438">
        <f t="shared" si="8"/>
        <v>1085</v>
      </c>
      <c r="U19" s="445">
        <f t="shared" si="2"/>
        <v>4415</v>
      </c>
      <c r="V19" s="95"/>
      <c r="X19" s="39">
        <v>85</v>
      </c>
      <c r="Y19" s="38" t="e">
        <f>F19-#REF!</f>
        <v>#REF!</v>
      </c>
      <c r="Z19" s="38" t="e">
        <f t="shared" si="3"/>
        <v>#REF!</v>
      </c>
      <c r="AA19" s="38" t="e">
        <f t="shared" si="4"/>
        <v>#REF!</v>
      </c>
    </row>
    <row r="20" spans="1:27" s="16" customFormat="1" ht="23.25" customHeight="1">
      <c r="A20" s="92">
        <v>14</v>
      </c>
      <c r="B20" s="149" t="s">
        <v>106</v>
      </c>
      <c r="C20" s="3" t="s">
        <v>105</v>
      </c>
      <c r="D20" s="557">
        <v>4500</v>
      </c>
      <c r="E20" s="558">
        <v>30</v>
      </c>
      <c r="F20" s="557">
        <v>4500</v>
      </c>
      <c r="G20" s="557"/>
      <c r="H20" s="557"/>
      <c r="I20" s="558"/>
      <c r="J20" s="438">
        <f t="shared" si="5"/>
        <v>4500</v>
      </c>
      <c r="K20" s="438">
        <f t="shared" si="9"/>
        <v>4500</v>
      </c>
      <c r="L20" s="143">
        <f t="shared" si="7"/>
        <v>400</v>
      </c>
      <c r="M20" s="559">
        <v>100</v>
      </c>
      <c r="N20" s="562"/>
      <c r="O20" s="554"/>
      <c r="P20" s="554"/>
      <c r="Q20" s="448">
        <f t="shared" si="0"/>
        <v>315.00000000000006</v>
      </c>
      <c r="R20" s="438">
        <f t="shared" si="1"/>
        <v>495</v>
      </c>
      <c r="S20" s="438"/>
      <c r="T20" s="438">
        <f t="shared" si="8"/>
        <v>815</v>
      </c>
      <c r="U20" s="445">
        <f t="shared" si="2"/>
        <v>3685</v>
      </c>
      <c r="V20" s="95"/>
      <c r="X20" s="20">
        <v>87</v>
      </c>
      <c r="Y20" s="16" t="e">
        <f>F20-#REF!</f>
        <v>#REF!</v>
      </c>
      <c r="Z20" s="16" t="e">
        <f t="shared" si="3"/>
        <v>#REF!</v>
      </c>
      <c r="AA20" s="16" t="e">
        <f t="shared" si="4"/>
        <v>#REF!</v>
      </c>
    </row>
    <row r="21" spans="1:27" s="16" customFormat="1" ht="23.25" customHeight="1">
      <c r="A21" s="92">
        <v>15</v>
      </c>
      <c r="B21" s="149" t="s">
        <v>354</v>
      </c>
      <c r="C21" s="3" t="s">
        <v>105</v>
      </c>
      <c r="D21" s="557">
        <v>4828.8500000000004</v>
      </c>
      <c r="E21" s="558">
        <v>30</v>
      </c>
      <c r="F21" s="557">
        <v>4828.8500000000004</v>
      </c>
      <c r="G21" s="557"/>
      <c r="H21" s="557"/>
      <c r="I21" s="558"/>
      <c r="J21" s="438">
        <f t="shared" si="5"/>
        <v>4828.8500000000004</v>
      </c>
      <c r="K21" s="438">
        <f t="shared" si="9"/>
        <v>4828.8500000000004</v>
      </c>
      <c r="L21" s="143">
        <f t="shared" si="7"/>
        <v>465.7700000000001</v>
      </c>
      <c r="M21" s="559">
        <v>100</v>
      </c>
      <c r="N21" s="562"/>
      <c r="O21" s="554"/>
      <c r="P21" s="561"/>
      <c r="Q21" s="447">
        <f t="shared" si="0"/>
        <v>338.01950000000005</v>
      </c>
      <c r="R21" s="437">
        <f t="shared" si="1"/>
        <v>531.17349999999999</v>
      </c>
      <c r="S21" s="437"/>
      <c r="T21" s="437">
        <f t="shared" si="8"/>
        <v>903.78950000000009</v>
      </c>
      <c r="U21" s="444">
        <f t="shared" si="2"/>
        <v>3925.0605000000005</v>
      </c>
      <c r="V21" s="95"/>
      <c r="X21" s="20">
        <v>86</v>
      </c>
      <c r="Y21" s="16" t="e">
        <f>F21-#REF!</f>
        <v>#REF!</v>
      </c>
      <c r="Z21" s="16" t="e">
        <f t="shared" si="3"/>
        <v>#REF!</v>
      </c>
      <c r="AA21" s="16" t="e">
        <f t="shared" si="4"/>
        <v>#REF!</v>
      </c>
    </row>
    <row r="22" spans="1:27" s="38" customFormat="1" ht="23.25" customHeight="1">
      <c r="A22" s="92">
        <v>16</v>
      </c>
      <c r="B22" s="148" t="s">
        <v>108</v>
      </c>
      <c r="C22" s="3" t="s">
        <v>105</v>
      </c>
      <c r="D22" s="557">
        <v>4500</v>
      </c>
      <c r="E22" s="558">
        <v>30</v>
      </c>
      <c r="F22" s="557">
        <v>4500</v>
      </c>
      <c r="G22" s="557"/>
      <c r="H22" s="557"/>
      <c r="I22" s="558"/>
      <c r="J22" s="438">
        <f t="shared" si="5"/>
        <v>4500</v>
      </c>
      <c r="K22" s="438">
        <f t="shared" si="9"/>
        <v>4500</v>
      </c>
      <c r="L22" s="143">
        <f t="shared" si="7"/>
        <v>400</v>
      </c>
      <c r="M22" s="559">
        <v>100</v>
      </c>
      <c r="N22" s="562"/>
      <c r="O22" s="554"/>
      <c r="P22" s="561"/>
      <c r="Q22" s="447">
        <f t="shared" si="0"/>
        <v>315.00000000000006</v>
      </c>
      <c r="R22" s="437">
        <f t="shared" si="1"/>
        <v>495</v>
      </c>
      <c r="S22" s="437"/>
      <c r="T22" s="437">
        <f t="shared" si="8"/>
        <v>815</v>
      </c>
      <c r="U22" s="444">
        <f t="shared" si="2"/>
        <v>3685</v>
      </c>
      <c r="V22" s="95"/>
      <c r="X22" s="39">
        <v>85</v>
      </c>
      <c r="Y22" s="38" t="e">
        <f>F22-#REF!</f>
        <v>#REF!</v>
      </c>
      <c r="Z22" s="38" t="e">
        <f t="shared" si="3"/>
        <v>#REF!</v>
      </c>
      <c r="AA22" s="38" t="e">
        <f t="shared" si="4"/>
        <v>#REF!</v>
      </c>
    </row>
    <row r="23" spans="1:27" s="38" customFormat="1" ht="23.25" customHeight="1">
      <c r="A23" s="92">
        <v>17</v>
      </c>
      <c r="B23" s="148" t="s">
        <v>109</v>
      </c>
      <c r="C23" s="3"/>
      <c r="D23" s="557">
        <v>4500</v>
      </c>
      <c r="E23" s="558">
        <v>30</v>
      </c>
      <c r="F23" s="557">
        <v>4500</v>
      </c>
      <c r="G23" s="557"/>
      <c r="H23" s="557"/>
      <c r="I23" s="558"/>
      <c r="J23" s="438">
        <f t="shared" si="5"/>
        <v>4500</v>
      </c>
      <c r="K23" s="438">
        <f t="shared" si="9"/>
        <v>4500</v>
      </c>
      <c r="L23" s="143">
        <f t="shared" si="7"/>
        <v>400</v>
      </c>
      <c r="M23" s="559">
        <v>100</v>
      </c>
      <c r="N23" s="562"/>
      <c r="O23" s="554"/>
      <c r="P23" s="554"/>
      <c r="Q23" s="447"/>
      <c r="R23" s="437"/>
      <c r="S23" s="437"/>
      <c r="T23" s="437">
        <f t="shared" si="8"/>
        <v>500</v>
      </c>
      <c r="U23" s="444">
        <f t="shared" si="2"/>
        <v>4000</v>
      </c>
      <c r="V23" s="95"/>
      <c r="X23" s="39"/>
    </row>
    <row r="24" spans="1:27" s="38" customFormat="1" ht="24" customHeight="1">
      <c r="A24" s="92">
        <v>18</v>
      </c>
      <c r="B24" s="315" t="s">
        <v>110</v>
      </c>
      <c r="C24" s="3"/>
      <c r="D24" s="557">
        <v>4500</v>
      </c>
      <c r="E24" s="558">
        <v>30</v>
      </c>
      <c r="F24" s="557">
        <v>4500</v>
      </c>
      <c r="G24" s="557"/>
      <c r="H24" s="557"/>
      <c r="I24" s="558"/>
      <c r="J24" s="437">
        <f t="shared" si="5"/>
        <v>4500</v>
      </c>
      <c r="K24" s="437">
        <f>F24+H24</f>
        <v>4500</v>
      </c>
      <c r="L24" s="143">
        <f t="shared" si="7"/>
        <v>400</v>
      </c>
      <c r="M24" s="554">
        <v>100</v>
      </c>
      <c r="N24" s="562"/>
      <c r="O24" s="554"/>
      <c r="P24" s="561"/>
      <c r="Q24" s="447">
        <f t="shared" ref="Q24:Q37" si="10">F24*0.07</f>
        <v>315.00000000000006</v>
      </c>
      <c r="R24" s="437">
        <f t="shared" ref="R24:R37" si="11">F24*0.11</f>
        <v>495</v>
      </c>
      <c r="S24" s="437"/>
      <c r="T24" s="437">
        <f t="shared" si="8"/>
        <v>815</v>
      </c>
      <c r="U24" s="444">
        <f t="shared" si="2"/>
        <v>3685</v>
      </c>
      <c r="V24" s="95"/>
      <c r="X24" s="39"/>
    </row>
    <row r="25" spans="1:27" s="16" customFormat="1" ht="23.25" customHeight="1">
      <c r="A25" s="92">
        <v>19</v>
      </c>
      <c r="B25" s="150" t="s">
        <v>112</v>
      </c>
      <c r="C25" s="3"/>
      <c r="D25" s="567">
        <v>4500</v>
      </c>
      <c r="E25" s="558">
        <v>30</v>
      </c>
      <c r="F25" s="567">
        <v>4500</v>
      </c>
      <c r="G25" s="567"/>
      <c r="H25" s="567"/>
      <c r="I25" s="558"/>
      <c r="J25" s="438">
        <f t="shared" si="5"/>
        <v>4500</v>
      </c>
      <c r="K25" s="438">
        <f t="shared" ref="K25:K45" si="12">F25</f>
        <v>4500</v>
      </c>
      <c r="L25" s="143">
        <f t="shared" si="7"/>
        <v>400</v>
      </c>
      <c r="M25" s="559">
        <v>100</v>
      </c>
      <c r="N25" s="562"/>
      <c r="O25" s="554"/>
      <c r="P25" s="554"/>
      <c r="Q25" s="447">
        <f t="shared" si="10"/>
        <v>315.00000000000006</v>
      </c>
      <c r="R25" s="437">
        <f t="shared" si="11"/>
        <v>495</v>
      </c>
      <c r="S25" s="437"/>
      <c r="T25" s="437">
        <f t="shared" si="8"/>
        <v>815</v>
      </c>
      <c r="U25" s="444">
        <f t="shared" si="2"/>
        <v>3685</v>
      </c>
      <c r="V25" s="95"/>
      <c r="X25" s="20"/>
    </row>
    <row r="26" spans="1:27" s="16" customFormat="1" ht="23.25" customHeight="1">
      <c r="A26" s="92">
        <v>20</v>
      </c>
      <c r="B26" s="151" t="s">
        <v>113</v>
      </c>
      <c r="C26" s="3"/>
      <c r="D26" s="557">
        <v>5750</v>
      </c>
      <c r="E26" s="558">
        <v>30</v>
      </c>
      <c r="F26" s="557">
        <v>5750</v>
      </c>
      <c r="G26" s="557"/>
      <c r="H26" s="557"/>
      <c r="I26" s="558"/>
      <c r="J26" s="438">
        <f t="shared" si="5"/>
        <v>5750</v>
      </c>
      <c r="K26" s="438">
        <f t="shared" si="12"/>
        <v>5750</v>
      </c>
      <c r="L26" s="143">
        <f t="shared" si="7"/>
        <v>650</v>
      </c>
      <c r="M26" s="559">
        <v>100</v>
      </c>
      <c r="N26" s="560"/>
      <c r="O26" s="554"/>
      <c r="P26" s="561"/>
      <c r="Q26" s="447">
        <f t="shared" si="10"/>
        <v>402.50000000000006</v>
      </c>
      <c r="R26" s="437">
        <f t="shared" si="11"/>
        <v>632.5</v>
      </c>
      <c r="S26" s="437"/>
      <c r="T26" s="437">
        <f t="shared" si="8"/>
        <v>1152.5</v>
      </c>
      <c r="U26" s="444">
        <f t="shared" si="2"/>
        <v>4597.5</v>
      </c>
      <c r="V26" s="95"/>
      <c r="X26" s="20"/>
    </row>
    <row r="27" spans="1:27" s="252" customFormat="1" ht="23.25" customHeight="1">
      <c r="A27" s="92">
        <v>21</v>
      </c>
      <c r="B27" s="151" t="s">
        <v>114</v>
      </c>
      <c r="C27" s="3"/>
      <c r="D27" s="557">
        <v>5180</v>
      </c>
      <c r="E27" s="558">
        <v>30</v>
      </c>
      <c r="F27" s="557">
        <v>5180</v>
      </c>
      <c r="G27" s="557"/>
      <c r="H27" s="557"/>
      <c r="I27" s="558"/>
      <c r="J27" s="438">
        <f t="shared" si="5"/>
        <v>5180</v>
      </c>
      <c r="K27" s="438">
        <f t="shared" si="12"/>
        <v>5180</v>
      </c>
      <c r="L27" s="143">
        <f t="shared" si="7"/>
        <v>536</v>
      </c>
      <c r="M27" s="559"/>
      <c r="N27" s="562"/>
      <c r="O27" s="561"/>
      <c r="P27" s="561"/>
      <c r="Q27" s="447">
        <f t="shared" si="10"/>
        <v>362.6</v>
      </c>
      <c r="R27" s="437">
        <f t="shared" si="11"/>
        <v>569.79999999999995</v>
      </c>
      <c r="S27" s="437"/>
      <c r="T27" s="437">
        <f t="shared" si="8"/>
        <v>898.6</v>
      </c>
      <c r="U27" s="444">
        <f t="shared" si="2"/>
        <v>4281.3999999999996</v>
      </c>
      <c r="V27" s="95"/>
      <c r="X27" s="253"/>
    </row>
    <row r="28" spans="1:27" s="79" customFormat="1" ht="23.25" customHeight="1">
      <c r="A28" s="92">
        <v>22</v>
      </c>
      <c r="B28" s="151" t="s">
        <v>116</v>
      </c>
      <c r="C28" s="3" t="s">
        <v>117</v>
      </c>
      <c r="D28" s="557">
        <v>11460</v>
      </c>
      <c r="E28" s="558">
        <v>30</v>
      </c>
      <c r="F28" s="557">
        <v>11460</v>
      </c>
      <c r="G28" s="557"/>
      <c r="H28" s="557"/>
      <c r="I28" s="558">
        <v>1600</v>
      </c>
      <c r="J28" s="438">
        <f t="shared" si="5"/>
        <v>13060</v>
      </c>
      <c r="K28" s="438">
        <f t="shared" si="12"/>
        <v>11460</v>
      </c>
      <c r="L28" s="143">
        <f t="shared" si="7"/>
        <v>2088</v>
      </c>
      <c r="M28" s="559">
        <v>100</v>
      </c>
      <c r="N28" s="560"/>
      <c r="O28" s="561">
        <v>2500</v>
      </c>
      <c r="P28" s="561"/>
      <c r="Q28" s="447">
        <f t="shared" si="10"/>
        <v>802.2</v>
      </c>
      <c r="R28" s="437">
        <f t="shared" si="11"/>
        <v>1260.5999999999999</v>
      </c>
      <c r="S28" s="437"/>
      <c r="T28" s="437">
        <f t="shared" si="8"/>
        <v>5490.2</v>
      </c>
      <c r="U28" s="444">
        <f t="shared" si="2"/>
        <v>7569.8</v>
      </c>
      <c r="V28" s="95"/>
      <c r="X28" s="80"/>
    </row>
    <row r="29" spans="1:27" s="16" customFormat="1" ht="23.25" customHeight="1">
      <c r="A29" s="92">
        <v>23</v>
      </c>
      <c r="B29" s="151" t="s">
        <v>119</v>
      </c>
      <c r="C29" s="3" t="s">
        <v>93</v>
      </c>
      <c r="D29" s="557">
        <v>4500</v>
      </c>
      <c r="E29" s="558">
        <v>30</v>
      </c>
      <c r="F29" s="557">
        <v>4500</v>
      </c>
      <c r="G29" s="557"/>
      <c r="H29" s="557"/>
      <c r="I29" s="558"/>
      <c r="J29" s="438">
        <f t="shared" si="5"/>
        <v>4500</v>
      </c>
      <c r="K29" s="438">
        <f t="shared" si="12"/>
        <v>4500</v>
      </c>
      <c r="L29" s="143">
        <f t="shared" si="7"/>
        <v>400</v>
      </c>
      <c r="M29" s="559">
        <v>100</v>
      </c>
      <c r="N29" s="562"/>
      <c r="O29" s="561"/>
      <c r="P29" s="554"/>
      <c r="Q29" s="447">
        <f t="shared" si="10"/>
        <v>315.00000000000006</v>
      </c>
      <c r="R29" s="437">
        <f t="shared" si="11"/>
        <v>495</v>
      </c>
      <c r="S29" s="437"/>
      <c r="T29" s="437">
        <f t="shared" si="8"/>
        <v>815</v>
      </c>
      <c r="U29" s="444">
        <f t="shared" si="2"/>
        <v>3685</v>
      </c>
      <c r="V29" s="95"/>
      <c r="X29" s="20"/>
    </row>
    <row r="30" spans="1:27" s="16" customFormat="1" ht="23.25" customHeight="1">
      <c r="A30" s="92">
        <v>24</v>
      </c>
      <c r="B30" s="151" t="s">
        <v>120</v>
      </c>
      <c r="C30" s="3" t="s">
        <v>93</v>
      </c>
      <c r="D30" s="557">
        <v>4500</v>
      </c>
      <c r="E30" s="655">
        <v>29</v>
      </c>
      <c r="F30" s="656">
        <v>4350</v>
      </c>
      <c r="G30" s="557"/>
      <c r="H30" s="557"/>
      <c r="I30" s="558"/>
      <c r="J30" s="438">
        <f t="shared" si="5"/>
        <v>4350</v>
      </c>
      <c r="K30" s="438">
        <f t="shared" si="12"/>
        <v>4350</v>
      </c>
      <c r="L30" s="143">
        <f t="shared" si="7"/>
        <v>370</v>
      </c>
      <c r="M30" s="559"/>
      <c r="N30" s="562"/>
      <c r="O30" s="554"/>
      <c r="P30" s="554"/>
      <c r="Q30" s="447">
        <f t="shared" si="10"/>
        <v>304.50000000000006</v>
      </c>
      <c r="R30" s="437">
        <f t="shared" si="11"/>
        <v>478.5</v>
      </c>
      <c r="S30" s="437"/>
      <c r="T30" s="437">
        <f>L30+M30+N30+O30+P30+Q30</f>
        <v>674.5</v>
      </c>
      <c r="U30" s="444">
        <f t="shared" si="2"/>
        <v>3675.5</v>
      </c>
      <c r="V30" s="95"/>
      <c r="X30" s="20"/>
    </row>
    <row r="31" spans="1:27" s="79" customFormat="1" ht="23.25" customHeight="1">
      <c r="A31" s="92">
        <v>25</v>
      </c>
      <c r="B31" s="151" t="s">
        <v>121</v>
      </c>
      <c r="C31" s="3" t="s">
        <v>93</v>
      </c>
      <c r="D31" s="557">
        <v>4500</v>
      </c>
      <c r="E31" s="558">
        <v>30</v>
      </c>
      <c r="F31" s="557">
        <v>4500</v>
      </c>
      <c r="G31" s="557"/>
      <c r="H31" s="557"/>
      <c r="I31" s="558"/>
      <c r="J31" s="438">
        <v>4500</v>
      </c>
      <c r="K31" s="438">
        <f t="shared" si="12"/>
        <v>4500</v>
      </c>
      <c r="L31" s="143">
        <f t="shared" si="7"/>
        <v>400</v>
      </c>
      <c r="M31" s="559"/>
      <c r="N31" s="562"/>
      <c r="O31" s="561"/>
      <c r="P31" s="561"/>
      <c r="Q31" s="447">
        <f t="shared" si="10"/>
        <v>315.00000000000006</v>
      </c>
      <c r="R31" s="437">
        <f t="shared" si="11"/>
        <v>495</v>
      </c>
      <c r="S31" s="437"/>
      <c r="T31" s="437">
        <f>L31+Q31</f>
        <v>715</v>
      </c>
      <c r="U31" s="444">
        <f t="shared" si="2"/>
        <v>3785</v>
      </c>
      <c r="V31" s="95"/>
      <c r="X31" s="80"/>
    </row>
    <row r="32" spans="1:27" s="16" customFormat="1" ht="23.25" customHeight="1">
      <c r="A32" s="92">
        <v>26</v>
      </c>
      <c r="B32" s="151" t="s">
        <v>122</v>
      </c>
      <c r="C32" s="3" t="s">
        <v>105</v>
      </c>
      <c r="D32" s="557">
        <v>6000</v>
      </c>
      <c r="E32" s="558">
        <v>30</v>
      </c>
      <c r="F32" s="557">
        <v>6000</v>
      </c>
      <c r="G32" s="557"/>
      <c r="H32" s="557"/>
      <c r="I32" s="558"/>
      <c r="J32" s="438">
        <f t="shared" si="5"/>
        <v>6000</v>
      </c>
      <c r="K32" s="438">
        <f t="shared" si="12"/>
        <v>6000</v>
      </c>
      <c r="L32" s="143">
        <f t="shared" si="7"/>
        <v>700</v>
      </c>
      <c r="M32" s="559"/>
      <c r="N32" s="562"/>
      <c r="O32" s="554"/>
      <c r="P32" s="554"/>
      <c r="Q32" s="448">
        <f t="shared" si="10"/>
        <v>420.00000000000006</v>
      </c>
      <c r="R32" s="437">
        <f t="shared" si="11"/>
        <v>660</v>
      </c>
      <c r="S32" s="437"/>
      <c r="T32" s="437">
        <f t="shared" si="8"/>
        <v>1120</v>
      </c>
      <c r="U32" s="445">
        <f t="shared" si="2"/>
        <v>4880</v>
      </c>
      <c r="V32" s="85"/>
      <c r="X32" s="20"/>
    </row>
    <row r="33" spans="1:24" s="16" customFormat="1" ht="23.25" customHeight="1">
      <c r="A33" s="92">
        <v>27</v>
      </c>
      <c r="B33" s="151" t="s">
        <v>123</v>
      </c>
      <c r="C33" s="3" t="s">
        <v>105</v>
      </c>
      <c r="D33" s="557">
        <v>4500</v>
      </c>
      <c r="E33" s="558">
        <v>30</v>
      </c>
      <c r="F33" s="557">
        <v>4500</v>
      </c>
      <c r="G33" s="557"/>
      <c r="H33" s="557"/>
      <c r="I33" s="558"/>
      <c r="J33" s="438">
        <f t="shared" si="5"/>
        <v>4500</v>
      </c>
      <c r="K33" s="438">
        <f t="shared" si="12"/>
        <v>4500</v>
      </c>
      <c r="L33" s="143">
        <f t="shared" si="7"/>
        <v>400</v>
      </c>
      <c r="M33" s="559"/>
      <c r="N33" s="562"/>
      <c r="O33" s="554"/>
      <c r="P33" s="561"/>
      <c r="Q33" s="448">
        <f t="shared" si="10"/>
        <v>315.00000000000006</v>
      </c>
      <c r="R33" s="437">
        <f t="shared" si="11"/>
        <v>495</v>
      </c>
      <c r="S33" s="437"/>
      <c r="T33" s="437">
        <f t="shared" si="8"/>
        <v>715</v>
      </c>
      <c r="U33" s="445">
        <f t="shared" si="2"/>
        <v>3785</v>
      </c>
      <c r="V33" s="85"/>
      <c r="X33" s="20"/>
    </row>
    <row r="34" spans="1:24" s="338" customFormat="1" ht="23.25" customHeight="1">
      <c r="A34" s="92">
        <v>28</v>
      </c>
      <c r="B34" s="314" t="s">
        <v>124</v>
      </c>
      <c r="C34" s="98"/>
      <c r="D34" s="569">
        <v>5500</v>
      </c>
      <c r="E34" s="570">
        <v>30</v>
      </c>
      <c r="F34" s="569">
        <v>5500</v>
      </c>
      <c r="G34" s="569"/>
      <c r="H34" s="569"/>
      <c r="I34" s="570"/>
      <c r="J34" s="437">
        <f t="shared" si="5"/>
        <v>5500</v>
      </c>
      <c r="K34" s="450">
        <f t="shared" si="12"/>
        <v>5500</v>
      </c>
      <c r="L34" s="143">
        <f t="shared" si="7"/>
        <v>600</v>
      </c>
      <c r="M34" s="571">
        <v>100</v>
      </c>
      <c r="N34" s="572"/>
      <c r="O34" s="572"/>
      <c r="P34" s="573"/>
      <c r="Q34" s="452">
        <f t="shared" si="10"/>
        <v>385.00000000000006</v>
      </c>
      <c r="R34" s="450">
        <f t="shared" si="11"/>
        <v>605</v>
      </c>
      <c r="S34" s="450"/>
      <c r="T34" s="450">
        <f t="shared" si="8"/>
        <v>1085</v>
      </c>
      <c r="U34" s="446">
        <f t="shared" si="2"/>
        <v>4415</v>
      </c>
      <c r="V34" s="340"/>
      <c r="X34" s="339"/>
    </row>
    <row r="35" spans="1:24" s="38" customFormat="1" ht="23.25" customHeight="1">
      <c r="A35" s="92">
        <v>29</v>
      </c>
      <c r="B35" s="148" t="s">
        <v>201</v>
      </c>
      <c r="C35" s="3"/>
      <c r="D35" s="557">
        <v>5500</v>
      </c>
      <c r="E35" s="558">
        <v>30</v>
      </c>
      <c r="F35" s="557">
        <v>5500</v>
      </c>
      <c r="G35" s="557"/>
      <c r="H35" s="557"/>
      <c r="I35" s="558"/>
      <c r="J35" s="438">
        <f t="shared" si="5"/>
        <v>5500</v>
      </c>
      <c r="K35" s="438">
        <f t="shared" si="12"/>
        <v>5500</v>
      </c>
      <c r="L35" s="143">
        <f t="shared" si="7"/>
        <v>600</v>
      </c>
      <c r="M35" s="574">
        <v>100</v>
      </c>
      <c r="N35" s="562"/>
      <c r="O35" s="554"/>
      <c r="P35" s="561"/>
      <c r="Q35" s="447">
        <f t="shared" si="10"/>
        <v>385.00000000000006</v>
      </c>
      <c r="R35" s="437">
        <f t="shared" si="11"/>
        <v>605</v>
      </c>
      <c r="S35" s="437"/>
      <c r="T35" s="437">
        <f t="shared" ref="T35:T45" si="13">L35+M35+N35+O35+P35+Q35</f>
        <v>1085</v>
      </c>
      <c r="U35" s="444">
        <f t="shared" si="2"/>
        <v>4415</v>
      </c>
      <c r="V35" s="134"/>
      <c r="X35" s="39"/>
    </row>
    <row r="36" spans="1:24" s="16" customFormat="1" ht="23.25" customHeight="1">
      <c r="A36" s="92">
        <v>30</v>
      </c>
      <c r="B36" s="151" t="s">
        <v>466</v>
      </c>
      <c r="C36" s="97" t="s">
        <v>91</v>
      </c>
      <c r="D36" s="575">
        <v>3400</v>
      </c>
      <c r="E36" s="576">
        <v>30</v>
      </c>
      <c r="F36" s="575">
        <v>3400</v>
      </c>
      <c r="G36" s="569"/>
      <c r="H36" s="569"/>
      <c r="I36" s="570">
        <v>600</v>
      </c>
      <c r="J36" s="438">
        <f t="shared" si="5"/>
        <v>4000</v>
      </c>
      <c r="K36" s="577">
        <f t="shared" si="12"/>
        <v>3400</v>
      </c>
      <c r="L36" s="143">
        <f t="shared" si="7"/>
        <v>210</v>
      </c>
      <c r="M36" s="574">
        <v>100</v>
      </c>
      <c r="N36" s="578"/>
      <c r="O36" s="571"/>
      <c r="P36" s="571"/>
      <c r="Q36" s="449">
        <f t="shared" si="10"/>
        <v>238.00000000000003</v>
      </c>
      <c r="R36" s="450">
        <f t="shared" si="11"/>
        <v>374</v>
      </c>
      <c r="S36" s="450"/>
      <c r="T36" s="450">
        <f t="shared" si="13"/>
        <v>548</v>
      </c>
      <c r="U36" s="445">
        <f t="shared" si="2"/>
        <v>3452</v>
      </c>
      <c r="V36" s="134"/>
      <c r="X36" s="20"/>
    </row>
    <row r="37" spans="1:24" s="16" customFormat="1" ht="23.25" customHeight="1">
      <c r="A37" s="92">
        <v>31</v>
      </c>
      <c r="B37" s="151" t="s">
        <v>203</v>
      </c>
      <c r="C37" s="97" t="s">
        <v>91</v>
      </c>
      <c r="D37" s="569">
        <v>3400</v>
      </c>
      <c r="E37" s="576">
        <v>30</v>
      </c>
      <c r="F37" s="569">
        <v>3400</v>
      </c>
      <c r="G37" s="569"/>
      <c r="H37" s="569"/>
      <c r="I37" s="570">
        <v>600</v>
      </c>
      <c r="J37" s="438">
        <f t="shared" si="5"/>
        <v>4000</v>
      </c>
      <c r="K37" s="577">
        <f t="shared" si="12"/>
        <v>3400</v>
      </c>
      <c r="L37" s="143">
        <f t="shared" si="7"/>
        <v>210</v>
      </c>
      <c r="M37" s="574">
        <v>100</v>
      </c>
      <c r="N37" s="578"/>
      <c r="O37" s="571"/>
      <c r="P37" s="571"/>
      <c r="Q37" s="449">
        <f t="shared" si="10"/>
        <v>238.00000000000003</v>
      </c>
      <c r="R37" s="450">
        <f t="shared" si="11"/>
        <v>374</v>
      </c>
      <c r="S37" s="450"/>
      <c r="T37" s="450">
        <f t="shared" si="13"/>
        <v>548</v>
      </c>
      <c r="U37" s="445">
        <f t="shared" si="2"/>
        <v>3452</v>
      </c>
      <c r="V37" s="134"/>
      <c r="X37" s="20"/>
    </row>
    <row r="38" spans="1:24" s="201" customFormat="1" ht="23.25" customHeight="1">
      <c r="A38" s="92">
        <v>32</v>
      </c>
      <c r="B38" s="151" t="s">
        <v>349</v>
      </c>
      <c r="C38" s="97"/>
      <c r="D38" s="569">
        <v>16000</v>
      </c>
      <c r="E38" s="576">
        <v>30</v>
      </c>
      <c r="F38" s="569">
        <v>16000</v>
      </c>
      <c r="G38" s="569"/>
      <c r="H38" s="569"/>
      <c r="I38" s="570">
        <v>2000</v>
      </c>
      <c r="J38" s="438">
        <f>F38+G38+H38+I38</f>
        <v>18000</v>
      </c>
      <c r="K38" s="577">
        <f t="shared" si="12"/>
        <v>16000</v>
      </c>
      <c r="L38" s="143">
        <f t="shared" si="7"/>
        <v>3550</v>
      </c>
      <c r="M38" s="574">
        <v>100</v>
      </c>
      <c r="N38" s="578"/>
      <c r="O38" s="571"/>
      <c r="P38" s="571"/>
      <c r="Q38" s="449"/>
      <c r="R38" s="450"/>
      <c r="S38" s="450"/>
      <c r="T38" s="450">
        <f t="shared" si="13"/>
        <v>3650</v>
      </c>
      <c r="U38" s="579">
        <f t="shared" si="2"/>
        <v>14350</v>
      </c>
      <c r="V38" s="134"/>
      <c r="X38" s="202"/>
    </row>
    <row r="39" spans="1:24" s="86" customFormat="1" ht="23.25" customHeight="1">
      <c r="A39" s="92">
        <v>33</v>
      </c>
      <c r="B39" s="203" t="s">
        <v>350</v>
      </c>
      <c r="C39" s="2" t="s">
        <v>91</v>
      </c>
      <c r="D39" s="557">
        <v>3400</v>
      </c>
      <c r="E39" s="556">
        <v>30</v>
      </c>
      <c r="F39" s="557">
        <v>3400</v>
      </c>
      <c r="G39" s="557"/>
      <c r="H39" s="557"/>
      <c r="I39" s="558">
        <v>600</v>
      </c>
      <c r="J39" s="438">
        <f t="shared" si="5"/>
        <v>4000</v>
      </c>
      <c r="K39" s="438">
        <f t="shared" si="12"/>
        <v>3400</v>
      </c>
      <c r="L39" s="143">
        <f t="shared" si="7"/>
        <v>210</v>
      </c>
      <c r="M39" s="559">
        <v>100</v>
      </c>
      <c r="N39" s="562"/>
      <c r="O39" s="554"/>
      <c r="P39" s="561"/>
      <c r="Q39" s="448">
        <f t="shared" ref="Q39:Q45" si="14">F39*0.07</f>
        <v>238.00000000000003</v>
      </c>
      <c r="R39" s="437">
        <f t="shared" ref="R39:R45" si="15">F39*0.11</f>
        <v>374</v>
      </c>
      <c r="S39" s="437"/>
      <c r="T39" s="437">
        <f t="shared" si="13"/>
        <v>548</v>
      </c>
      <c r="U39" s="445">
        <f t="shared" si="2"/>
        <v>3452</v>
      </c>
      <c r="V39" s="113"/>
      <c r="X39" s="87"/>
    </row>
    <row r="40" spans="1:24" s="135" customFormat="1" ht="23.25" customHeight="1">
      <c r="A40" s="92">
        <v>34</v>
      </c>
      <c r="B40" s="203" t="s">
        <v>361</v>
      </c>
      <c r="C40" s="2"/>
      <c r="D40" s="557">
        <v>2900</v>
      </c>
      <c r="E40" s="556">
        <v>30</v>
      </c>
      <c r="F40" s="557">
        <v>2900</v>
      </c>
      <c r="G40" s="557"/>
      <c r="H40" s="557"/>
      <c r="I40" s="558">
        <v>600</v>
      </c>
      <c r="J40" s="438">
        <f t="shared" si="5"/>
        <v>3500</v>
      </c>
      <c r="K40" s="438">
        <f t="shared" si="12"/>
        <v>2900</v>
      </c>
      <c r="L40" s="143">
        <f t="shared" si="7"/>
        <v>135</v>
      </c>
      <c r="M40" s="559">
        <v>100</v>
      </c>
      <c r="N40" s="562"/>
      <c r="O40" s="554"/>
      <c r="P40" s="554"/>
      <c r="Q40" s="448">
        <f t="shared" si="14"/>
        <v>203.00000000000003</v>
      </c>
      <c r="R40" s="437">
        <f t="shared" si="15"/>
        <v>319</v>
      </c>
      <c r="S40" s="437"/>
      <c r="T40" s="437">
        <f t="shared" si="13"/>
        <v>438</v>
      </c>
      <c r="U40" s="445">
        <f t="shared" si="2"/>
        <v>3062</v>
      </c>
      <c r="V40" s="144"/>
      <c r="X40" s="136"/>
    </row>
    <row r="41" spans="1:24" s="135" customFormat="1" ht="23.25" customHeight="1">
      <c r="A41" s="92">
        <v>35</v>
      </c>
      <c r="B41" s="203" t="s">
        <v>363</v>
      </c>
      <c r="C41" s="2"/>
      <c r="D41" s="557">
        <v>3400</v>
      </c>
      <c r="E41" s="556">
        <v>30</v>
      </c>
      <c r="F41" s="557">
        <v>3400</v>
      </c>
      <c r="G41" s="557"/>
      <c r="H41" s="557"/>
      <c r="I41" s="558">
        <v>600</v>
      </c>
      <c r="J41" s="438">
        <f t="shared" si="5"/>
        <v>4000</v>
      </c>
      <c r="K41" s="438">
        <f t="shared" si="12"/>
        <v>3400</v>
      </c>
      <c r="L41" s="143">
        <f t="shared" si="7"/>
        <v>210</v>
      </c>
      <c r="M41" s="559">
        <v>100</v>
      </c>
      <c r="N41" s="562"/>
      <c r="O41" s="554"/>
      <c r="P41" s="554"/>
      <c r="Q41" s="448">
        <f t="shared" si="14"/>
        <v>238.00000000000003</v>
      </c>
      <c r="R41" s="437">
        <f t="shared" si="15"/>
        <v>374</v>
      </c>
      <c r="S41" s="437"/>
      <c r="T41" s="437">
        <f t="shared" si="13"/>
        <v>548</v>
      </c>
      <c r="U41" s="445">
        <f t="shared" si="2"/>
        <v>3452</v>
      </c>
      <c r="V41" s="144"/>
      <c r="X41" s="136"/>
    </row>
    <row r="42" spans="1:24" s="86" customFormat="1" ht="23.25" customHeight="1">
      <c r="A42" s="92">
        <v>36</v>
      </c>
      <c r="B42" s="365" t="s">
        <v>446</v>
      </c>
      <c r="C42" s="3" t="s">
        <v>93</v>
      </c>
      <c r="D42" s="557">
        <v>2400</v>
      </c>
      <c r="E42" s="558">
        <v>30</v>
      </c>
      <c r="F42" s="557">
        <v>2400</v>
      </c>
      <c r="G42" s="557"/>
      <c r="H42" s="557"/>
      <c r="I42" s="558">
        <v>600</v>
      </c>
      <c r="J42" s="438">
        <f t="shared" si="5"/>
        <v>3000</v>
      </c>
      <c r="K42" s="438">
        <f t="shared" si="12"/>
        <v>2400</v>
      </c>
      <c r="L42" s="143">
        <f t="shared" si="7"/>
        <v>60</v>
      </c>
      <c r="M42" s="559">
        <v>100</v>
      </c>
      <c r="N42" s="562"/>
      <c r="O42" s="554"/>
      <c r="P42" s="554"/>
      <c r="Q42" s="448">
        <f t="shared" si="14"/>
        <v>168.00000000000003</v>
      </c>
      <c r="R42" s="437">
        <f t="shared" si="15"/>
        <v>264</v>
      </c>
      <c r="S42" s="437"/>
      <c r="T42" s="437">
        <f t="shared" si="13"/>
        <v>328</v>
      </c>
      <c r="U42" s="445">
        <f t="shared" si="2"/>
        <v>2672</v>
      </c>
      <c r="V42" s="113"/>
      <c r="X42" s="87"/>
    </row>
    <row r="43" spans="1:24" s="86" customFormat="1" ht="23.25" customHeight="1">
      <c r="A43" s="92">
        <v>37</v>
      </c>
      <c r="B43" s="365" t="s">
        <v>447</v>
      </c>
      <c r="C43" s="3" t="s">
        <v>448</v>
      </c>
      <c r="D43" s="557">
        <v>2400</v>
      </c>
      <c r="E43" s="558">
        <v>30</v>
      </c>
      <c r="F43" s="557">
        <v>2400</v>
      </c>
      <c r="G43" s="557"/>
      <c r="H43" s="557"/>
      <c r="I43" s="558">
        <v>600</v>
      </c>
      <c r="J43" s="438">
        <f t="shared" si="5"/>
        <v>3000</v>
      </c>
      <c r="K43" s="438">
        <f t="shared" si="12"/>
        <v>2400</v>
      </c>
      <c r="L43" s="143">
        <f t="shared" si="7"/>
        <v>60</v>
      </c>
      <c r="M43" s="559">
        <v>100</v>
      </c>
      <c r="N43" s="562"/>
      <c r="O43" s="554"/>
      <c r="P43" s="554"/>
      <c r="Q43" s="448">
        <f t="shared" si="14"/>
        <v>168.00000000000003</v>
      </c>
      <c r="R43" s="437">
        <f t="shared" si="15"/>
        <v>264</v>
      </c>
      <c r="S43" s="437"/>
      <c r="T43" s="437">
        <f t="shared" si="13"/>
        <v>328</v>
      </c>
      <c r="U43" s="445">
        <f t="shared" si="2"/>
        <v>2672</v>
      </c>
      <c r="V43" s="113"/>
      <c r="X43" s="87"/>
    </row>
    <row r="44" spans="1:24" s="86" customFormat="1" ht="23.25" customHeight="1">
      <c r="A44" s="92">
        <v>38</v>
      </c>
      <c r="B44" s="365" t="s">
        <v>449</v>
      </c>
      <c r="C44" s="3" t="s">
        <v>450</v>
      </c>
      <c r="D44" s="557">
        <v>3400</v>
      </c>
      <c r="E44" s="558">
        <v>30</v>
      </c>
      <c r="F44" s="557">
        <v>3400</v>
      </c>
      <c r="G44" s="437"/>
      <c r="H44" s="557"/>
      <c r="I44" s="558">
        <v>600</v>
      </c>
      <c r="J44" s="438">
        <f t="shared" si="5"/>
        <v>4000</v>
      </c>
      <c r="K44" s="438">
        <f t="shared" si="12"/>
        <v>3400</v>
      </c>
      <c r="L44" s="143">
        <f t="shared" si="7"/>
        <v>210</v>
      </c>
      <c r="M44" s="559">
        <v>100</v>
      </c>
      <c r="N44" s="562"/>
      <c r="O44" s="554"/>
      <c r="P44" s="554"/>
      <c r="Q44" s="448">
        <f t="shared" si="14"/>
        <v>238.00000000000003</v>
      </c>
      <c r="R44" s="437">
        <f t="shared" si="15"/>
        <v>374</v>
      </c>
      <c r="S44" s="437"/>
      <c r="T44" s="437">
        <f t="shared" si="13"/>
        <v>548</v>
      </c>
      <c r="U44" s="445">
        <f t="shared" si="2"/>
        <v>3452</v>
      </c>
      <c r="V44" s="113"/>
      <c r="X44" s="87"/>
    </row>
    <row r="45" spans="1:24" s="86" customFormat="1" ht="23.25" customHeight="1">
      <c r="A45" s="92">
        <v>39</v>
      </c>
      <c r="B45" s="365" t="s">
        <v>451</v>
      </c>
      <c r="C45" s="3" t="s">
        <v>452</v>
      </c>
      <c r="D45" s="554">
        <v>8000</v>
      </c>
      <c r="E45" s="558">
        <v>30</v>
      </c>
      <c r="F45" s="557">
        <v>8000</v>
      </c>
      <c r="G45" s="557"/>
      <c r="H45" s="557"/>
      <c r="I45" s="558">
        <v>2000</v>
      </c>
      <c r="J45" s="438">
        <f t="shared" si="5"/>
        <v>10000</v>
      </c>
      <c r="K45" s="438">
        <f t="shared" si="12"/>
        <v>8000</v>
      </c>
      <c r="L45" s="143">
        <f t="shared" si="7"/>
        <v>1150</v>
      </c>
      <c r="M45" s="559">
        <v>100</v>
      </c>
      <c r="N45" s="562"/>
      <c r="O45" s="554"/>
      <c r="P45" s="554"/>
      <c r="Q45" s="448">
        <f t="shared" si="14"/>
        <v>560</v>
      </c>
      <c r="R45" s="437">
        <f t="shared" si="15"/>
        <v>880</v>
      </c>
      <c r="S45" s="437"/>
      <c r="T45" s="437">
        <f t="shared" si="13"/>
        <v>1810</v>
      </c>
      <c r="U45" s="445">
        <f t="shared" si="2"/>
        <v>8190</v>
      </c>
      <c r="V45" s="113"/>
      <c r="X45" s="87"/>
    </row>
    <row r="46" spans="1:24" s="135" customFormat="1" ht="23.25" customHeight="1" thickBot="1">
      <c r="A46" s="152"/>
      <c r="B46" s="250" t="s">
        <v>4</v>
      </c>
      <c r="C46" s="55"/>
      <c r="D46" s="342">
        <f>SUM(D7:D45)</f>
        <v>225569.37000000002</v>
      </c>
      <c r="E46" s="55"/>
      <c r="F46" s="343">
        <f t="shared" ref="F46:O46" si="16">SUM(F7:F45)</f>
        <v>225419.37000000002</v>
      </c>
      <c r="G46" s="54">
        <f t="shared" si="16"/>
        <v>0</v>
      </c>
      <c r="H46" s="54">
        <f t="shared" si="16"/>
        <v>0</v>
      </c>
      <c r="I46" s="54">
        <f t="shared" si="16"/>
        <v>11000</v>
      </c>
      <c r="J46" s="54">
        <f t="shared" si="16"/>
        <v>236419.37000000002</v>
      </c>
      <c r="K46" s="54">
        <f t="shared" si="16"/>
        <v>222819.37000000002</v>
      </c>
      <c r="L46" s="54">
        <f t="shared" si="16"/>
        <v>27192.998500000002</v>
      </c>
      <c r="M46" s="54">
        <f t="shared" si="16"/>
        <v>3400</v>
      </c>
      <c r="N46" s="54">
        <f>SUM(N7:N45)</f>
        <v>3800</v>
      </c>
      <c r="O46" s="54">
        <f t="shared" si="16"/>
        <v>4300</v>
      </c>
      <c r="P46" s="54">
        <f>SUM(P7:P45)</f>
        <v>0</v>
      </c>
      <c r="Q46" s="453">
        <f>SUM(Q7:Q45)</f>
        <v>14344.355900000002</v>
      </c>
      <c r="R46" s="453">
        <f>SUM(R7:R45)</f>
        <v>22541.130700000002</v>
      </c>
      <c r="S46" s="54">
        <f>SUM(S7:S41)</f>
        <v>0</v>
      </c>
      <c r="T46" s="54">
        <f>SUM(T7:T45)</f>
        <v>53037.354400000004</v>
      </c>
      <c r="U46" s="472">
        <f>SUM(U7:U45)</f>
        <v>183382.01560000001</v>
      </c>
      <c r="V46" s="144"/>
      <c r="X46" s="136"/>
    </row>
    <row r="47" spans="1:24" s="135" customFormat="1" ht="23.25" customHeight="1" thickTop="1" thickBot="1">
      <c r="A47" s="61"/>
      <c r="B47" s="57"/>
      <c r="C47" s="57"/>
      <c r="D47" s="57"/>
      <c r="E47" s="57"/>
      <c r="F47" s="57"/>
      <c r="G47" s="57"/>
      <c r="H47" s="57"/>
      <c r="I47" s="57"/>
      <c r="J47" s="57"/>
      <c r="K47" s="57"/>
      <c r="L47" s="57"/>
      <c r="M47" s="57"/>
      <c r="N47" s="57"/>
      <c r="O47" s="57"/>
      <c r="P47" s="63"/>
      <c r="Q47" s="57"/>
      <c r="R47" s="57"/>
      <c r="S47" s="57"/>
      <c r="T47" s="57"/>
      <c r="U47" s="58"/>
      <c r="V47" s="62"/>
      <c r="X47" s="136"/>
    </row>
    <row r="48" spans="1:24" ht="23.25" customHeight="1" thickTop="1">
      <c r="A48" s="56"/>
      <c r="B48" s="255" t="s">
        <v>182</v>
      </c>
      <c r="C48" s="255"/>
      <c r="D48" s="255"/>
      <c r="E48" s="255"/>
      <c r="F48" s="255"/>
      <c r="G48" s="255"/>
      <c r="H48" s="366"/>
      <c r="I48" s="256"/>
      <c r="J48" s="255"/>
      <c r="K48" s="255" t="s">
        <v>181</v>
      </c>
      <c r="L48" s="257"/>
      <c r="M48" s="257"/>
      <c r="N48" s="257"/>
      <c r="O48" s="257" t="s">
        <v>179</v>
      </c>
      <c r="P48" s="257"/>
      <c r="Q48" s="257"/>
      <c r="R48" s="42"/>
      <c r="S48" s="59"/>
      <c r="T48" s="57"/>
      <c r="U48" s="58"/>
      <c r="V48" s="46"/>
    </row>
    <row r="49" spans="1:23" ht="23.25" customHeight="1" thickBot="1">
      <c r="A49" s="59"/>
      <c r="B49" s="255" t="s">
        <v>5</v>
      </c>
      <c r="C49" s="255"/>
      <c r="D49" s="255"/>
      <c r="E49" s="255"/>
      <c r="F49" s="255"/>
      <c r="G49" s="255"/>
      <c r="H49" s="255"/>
      <c r="I49" s="255"/>
      <c r="J49" s="255"/>
      <c r="K49" s="255"/>
      <c r="L49" s="255"/>
      <c r="M49" s="255"/>
      <c r="N49" s="255"/>
      <c r="O49" s="255" t="s">
        <v>0</v>
      </c>
      <c r="P49" s="258"/>
      <c r="Q49" s="255"/>
      <c r="R49" s="44"/>
      <c r="S49" s="59"/>
      <c r="T49" s="57"/>
      <c r="U49" s="58"/>
      <c r="V49" s="46"/>
    </row>
    <row r="50" spans="1:23" ht="23.25" customHeight="1">
      <c r="A50" s="59"/>
      <c r="B50" s="255"/>
      <c r="C50" s="255"/>
      <c r="D50" s="255"/>
      <c r="E50" s="255"/>
      <c r="F50" s="255"/>
      <c r="G50" s="255"/>
      <c r="H50" s="255"/>
      <c r="I50" s="255"/>
      <c r="J50" s="255"/>
      <c r="K50" s="255"/>
      <c r="L50" s="255"/>
      <c r="M50" s="255"/>
      <c r="N50" s="255"/>
      <c r="O50" s="255"/>
      <c r="P50" s="255"/>
      <c r="Q50" s="255"/>
      <c r="R50" s="47"/>
      <c r="S50" s="59"/>
      <c r="T50" s="57"/>
      <c r="U50" s="58"/>
      <c r="V50" s="46"/>
    </row>
    <row r="51" spans="1:23" ht="23.25" customHeight="1">
      <c r="A51" s="60"/>
      <c r="B51" s="584"/>
      <c r="C51" s="584"/>
      <c r="D51" s="584"/>
      <c r="E51" s="584"/>
      <c r="F51" s="584"/>
      <c r="G51" s="584"/>
      <c r="H51" s="584"/>
      <c r="I51" s="584"/>
      <c r="J51" s="584"/>
      <c r="K51" s="585"/>
      <c r="L51" s="585"/>
      <c r="M51" s="585"/>
      <c r="N51" s="585"/>
      <c r="O51" s="585"/>
      <c r="P51" s="585"/>
      <c r="Q51" s="586"/>
      <c r="R51" s="66"/>
      <c r="S51" s="66"/>
      <c r="T51" s="48"/>
      <c r="U51" s="67"/>
      <c r="V51" s="46"/>
    </row>
    <row r="52" spans="1:23" ht="15.5">
      <c r="A52" s="64"/>
      <c r="B52" s="48"/>
      <c r="C52" s="48"/>
      <c r="D52" s="48"/>
      <c r="E52" s="48"/>
      <c r="F52" s="48"/>
      <c r="G52" s="48"/>
      <c r="H52" s="48"/>
      <c r="I52" s="48"/>
      <c r="J52" s="48"/>
      <c r="K52" s="65"/>
      <c r="L52" s="65"/>
      <c r="M52" s="65"/>
      <c r="N52" s="65"/>
      <c r="O52" s="65"/>
      <c r="P52" s="65"/>
      <c r="Q52" s="66"/>
      <c r="R52" s="66"/>
      <c r="S52" s="66"/>
      <c r="T52" s="48"/>
      <c r="U52" s="67"/>
      <c r="V52" s="50"/>
      <c r="W52" s="5" t="s">
        <v>7</v>
      </c>
    </row>
    <row r="53" spans="1:23">
      <c r="A53" s="64"/>
      <c r="V53" s="50"/>
    </row>
    <row r="55" spans="1:23" s="12" customFormat="1">
      <c r="A55" s="4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</row>
    <row r="58" spans="1:23">
      <c r="Q58" s="110"/>
    </row>
    <row r="71" ht="9" customHeight="1"/>
    <row r="72" ht="15" customHeight="1"/>
    <row r="73" ht="17.25" customHeight="1"/>
  </sheetData>
  <mergeCells count="14">
    <mergeCell ref="A2:V2"/>
    <mergeCell ref="F5:I5"/>
    <mergeCell ref="L5:R5"/>
    <mergeCell ref="A5:A6"/>
    <mergeCell ref="B5:B6"/>
    <mergeCell ref="C5:C6"/>
    <mergeCell ref="E5:E6"/>
    <mergeCell ref="J5:J6"/>
    <mergeCell ref="K5:K6"/>
    <mergeCell ref="T5:T6"/>
    <mergeCell ref="U5:U6"/>
    <mergeCell ref="V3:V4"/>
    <mergeCell ref="V5:V6"/>
    <mergeCell ref="A3:U4"/>
  </mergeCells>
  <pageMargins left="0.17" right="0.27" top="0.3" bottom="0.36875000000000002" header="0.3" footer="0.3"/>
  <pageSetup scale="47" orientation="landscape" r:id="rId1"/>
  <rowBreaks count="1" manualBreakCount="1">
    <brk id="52" max="16383" man="1"/>
  </rowBreaks>
  <colBreaks count="1" manualBreakCount="1">
    <brk id="22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70"/>
  <sheetViews>
    <sheetView view="pageBreakPreview" topLeftCell="A2" zoomScale="80" zoomScaleNormal="80" zoomScaleSheetLayoutView="80" workbookViewId="0">
      <selection activeCell="M7" sqref="M7:N28"/>
    </sheetView>
  </sheetViews>
  <sheetFormatPr defaultColWidth="9.1796875" defaultRowHeight="14.5"/>
  <cols>
    <col min="1" max="1" width="5.81640625" style="4" customWidth="1"/>
    <col min="2" max="2" width="24.54296875" style="5" customWidth="1"/>
    <col min="3" max="3" width="8.7265625" style="5" customWidth="1"/>
    <col min="4" max="4" width="16" style="5" customWidth="1"/>
    <col min="5" max="5" width="7.453125" style="5" customWidth="1"/>
    <col min="6" max="6" width="12.26953125" style="5" customWidth="1"/>
    <col min="7" max="7" width="9.453125" style="5" customWidth="1"/>
    <col min="8" max="8" width="15.81640625" style="5" customWidth="1"/>
    <col min="9" max="9" width="16.26953125" style="5" customWidth="1"/>
    <col min="10" max="10" width="17.1796875" style="5" customWidth="1"/>
    <col min="11" max="11" width="10.453125" style="5" customWidth="1"/>
    <col min="12" max="12" width="11" style="5" customWidth="1"/>
    <col min="13" max="13" width="16.7265625" style="5" customWidth="1"/>
    <col min="14" max="14" width="15.1796875" style="5" customWidth="1"/>
    <col min="15" max="15" width="12.26953125" style="5" hidden="1" customWidth="1"/>
    <col min="16" max="16" width="16" style="5" customWidth="1"/>
    <col min="17" max="17" width="17.54296875" style="5" customWidth="1"/>
    <col min="18" max="18" width="12.1796875" style="5" customWidth="1"/>
    <col min="19" max="19" width="12.26953125" style="5" hidden="1" customWidth="1"/>
    <col min="20" max="20" width="11.54296875" style="5" hidden="1" customWidth="1"/>
    <col min="21" max="21" width="9.54296875" style="5" hidden="1" customWidth="1"/>
    <col min="22" max="23" width="10.54296875" style="5" hidden="1" customWidth="1"/>
    <col min="24" max="16384" width="9.1796875" style="5"/>
  </cols>
  <sheetData>
    <row r="1" spans="1:23" ht="32.25" customHeight="1"/>
    <row r="2" spans="1:23" ht="32.25" customHeight="1" thickBot="1">
      <c r="A2" s="753" t="s">
        <v>125</v>
      </c>
      <c r="B2" s="753"/>
      <c r="C2" s="753"/>
      <c r="D2" s="753"/>
      <c r="E2" s="753"/>
      <c r="F2" s="753"/>
      <c r="G2" s="753"/>
      <c r="H2" s="753"/>
      <c r="I2" s="753"/>
      <c r="J2" s="753"/>
      <c r="K2" s="753"/>
      <c r="L2" s="753"/>
      <c r="M2" s="753"/>
      <c r="N2" s="753"/>
      <c r="O2" s="753"/>
      <c r="P2" s="753"/>
      <c r="Q2" s="753"/>
      <c r="R2" s="753"/>
    </row>
    <row r="3" spans="1:23" ht="32.25" customHeight="1" thickTop="1">
      <c r="A3" s="747" t="s">
        <v>486</v>
      </c>
      <c r="B3" s="765"/>
      <c r="C3" s="765"/>
      <c r="D3" s="765"/>
      <c r="E3" s="765"/>
      <c r="F3" s="765"/>
      <c r="G3" s="765"/>
      <c r="H3" s="765"/>
      <c r="I3" s="765"/>
      <c r="J3" s="765"/>
      <c r="K3" s="765"/>
      <c r="L3" s="765"/>
      <c r="M3" s="765"/>
      <c r="N3" s="765"/>
      <c r="O3" s="765"/>
      <c r="P3" s="765"/>
      <c r="Q3" s="766"/>
      <c r="R3" s="761"/>
    </row>
    <row r="4" spans="1:23" ht="32.25" customHeight="1" thickBot="1">
      <c r="A4" s="767"/>
      <c r="B4" s="727"/>
      <c r="C4" s="727"/>
      <c r="D4" s="727"/>
      <c r="E4" s="727"/>
      <c r="F4" s="727"/>
      <c r="G4" s="727"/>
      <c r="H4" s="727"/>
      <c r="I4" s="727"/>
      <c r="J4" s="727"/>
      <c r="K4" s="727"/>
      <c r="L4" s="727"/>
      <c r="M4" s="727"/>
      <c r="N4" s="727"/>
      <c r="O4" s="727"/>
      <c r="P4" s="727"/>
      <c r="Q4" s="768"/>
      <c r="R4" s="762"/>
    </row>
    <row r="5" spans="1:23" ht="32.25" customHeight="1" thickTop="1" thickBot="1">
      <c r="A5" s="754" t="s">
        <v>1</v>
      </c>
      <c r="B5" s="756" t="s">
        <v>2</v>
      </c>
      <c r="C5" s="758" t="s">
        <v>10</v>
      </c>
      <c r="D5" s="587"/>
      <c r="E5" s="758" t="s">
        <v>11</v>
      </c>
      <c r="F5" s="728" t="s">
        <v>12</v>
      </c>
      <c r="G5" s="729"/>
      <c r="H5" s="758" t="s">
        <v>13</v>
      </c>
      <c r="I5" s="758" t="s">
        <v>14</v>
      </c>
      <c r="J5" s="731" t="s">
        <v>15</v>
      </c>
      <c r="K5" s="732"/>
      <c r="L5" s="732"/>
      <c r="M5" s="732"/>
      <c r="N5" s="733"/>
      <c r="O5" s="588"/>
      <c r="P5" s="758" t="s">
        <v>16</v>
      </c>
      <c r="Q5" s="756" t="s">
        <v>3</v>
      </c>
      <c r="R5" s="763" t="s">
        <v>0</v>
      </c>
      <c r="T5" s="5" t="s">
        <v>8</v>
      </c>
    </row>
    <row r="6" spans="1:23" ht="46.5" customHeight="1" thickTop="1">
      <c r="A6" s="755"/>
      <c r="B6" s="757"/>
      <c r="C6" s="759"/>
      <c r="D6" s="589" t="s">
        <v>430</v>
      </c>
      <c r="E6" s="760"/>
      <c r="F6" s="589" t="s">
        <v>429</v>
      </c>
      <c r="G6" s="589" t="s">
        <v>365</v>
      </c>
      <c r="H6" s="757"/>
      <c r="I6" s="757"/>
      <c r="J6" s="590" t="s">
        <v>22</v>
      </c>
      <c r="K6" s="590" t="s">
        <v>23</v>
      </c>
      <c r="L6" s="590" t="s">
        <v>25</v>
      </c>
      <c r="M6" s="589" t="s">
        <v>27</v>
      </c>
      <c r="N6" s="589" t="s">
        <v>28</v>
      </c>
      <c r="O6" s="588" t="s">
        <v>9</v>
      </c>
      <c r="P6" s="757"/>
      <c r="Q6" s="757"/>
      <c r="R6" s="764"/>
      <c r="T6" s="5" t="s">
        <v>8</v>
      </c>
    </row>
    <row r="7" spans="1:23" s="114" customFormat="1" ht="32.25" customHeight="1">
      <c r="A7" s="591">
        <v>1</v>
      </c>
      <c r="B7" s="143" t="s">
        <v>126</v>
      </c>
      <c r="C7" s="437" t="s">
        <v>105</v>
      </c>
      <c r="D7" s="557">
        <v>5750</v>
      </c>
      <c r="E7" s="565">
        <v>29</v>
      </c>
      <c r="F7" s="564">
        <v>5558.66</v>
      </c>
      <c r="G7" s="558"/>
      <c r="H7" s="437">
        <f>F7+G7</f>
        <v>5558.66</v>
      </c>
      <c r="I7" s="437">
        <f>F7</f>
        <v>5558.66</v>
      </c>
      <c r="J7" s="143">
        <f>IF(I7&lt;=2000,0,IF(I7&lt;=4000,I7*0.15-300,IF(I7&lt;=7000,I7*0.2-500,IF(I7&lt;=10000,I7*0.25-850,IF(I7&lt;=14000,I7*0.3-1350,IF(I7&gt;14000,I7*0.35-2050))))))</f>
        <v>611.73199999999997</v>
      </c>
      <c r="K7" s="554"/>
      <c r="L7" s="437"/>
      <c r="M7" s="447">
        <f>F7*0.07</f>
        <v>389.1062</v>
      </c>
      <c r="N7" s="437">
        <f t="shared" ref="N7:N28" si="0">F7*0.11</f>
        <v>611.45259999999996</v>
      </c>
      <c r="O7" s="437"/>
      <c r="P7" s="437">
        <f t="shared" ref="P7:P9" si="1">J7+K7+L7+M7</f>
        <v>1000.8381999999999</v>
      </c>
      <c r="Q7" s="444">
        <f>H7-P7</f>
        <v>4557.8217999999997</v>
      </c>
      <c r="R7" s="118"/>
      <c r="T7" s="115">
        <v>89</v>
      </c>
      <c r="U7" s="114" t="e">
        <f>F7-#REF!</f>
        <v>#REF!</v>
      </c>
      <c r="V7" s="114" t="e">
        <f>U7*T7/100</f>
        <v>#REF!</v>
      </c>
      <c r="W7" s="114" t="e">
        <f>U7-V7</f>
        <v>#REF!</v>
      </c>
    </row>
    <row r="8" spans="1:23" s="114" customFormat="1" ht="32.25" customHeight="1">
      <c r="A8" s="591">
        <v>2</v>
      </c>
      <c r="B8" s="143" t="s">
        <v>127</v>
      </c>
      <c r="C8" s="437" t="s">
        <v>128</v>
      </c>
      <c r="D8" s="557">
        <v>6463.75</v>
      </c>
      <c r="E8" s="558">
        <v>30</v>
      </c>
      <c r="F8" s="557">
        <v>6463.75</v>
      </c>
      <c r="G8" s="558"/>
      <c r="H8" s="437">
        <f t="shared" ref="H8:H28" si="2">F8+G8</f>
        <v>6463.75</v>
      </c>
      <c r="I8" s="437">
        <f t="shared" ref="I8:I28" si="3">F8</f>
        <v>6463.75</v>
      </c>
      <c r="J8" s="143">
        <f t="shared" ref="J8:J28" si="4">IF(I8&lt;=2000,0,IF(I8&lt;=4000,I8*0.15-300,IF(I8&lt;=7000,I8*0.2-500,IF(I8&lt;=10000,I8*0.25-850,IF(I8&lt;=14000,I8*0.3-1350,IF(I8&gt;14000,I8*0.35-2050))))))</f>
        <v>792.75</v>
      </c>
      <c r="K8" s="554"/>
      <c r="L8" s="437"/>
      <c r="M8" s="447">
        <f>F8*0.07</f>
        <v>452.46250000000003</v>
      </c>
      <c r="N8" s="437">
        <f t="shared" si="0"/>
        <v>711.01250000000005</v>
      </c>
      <c r="O8" s="437"/>
      <c r="P8" s="437">
        <f t="shared" si="1"/>
        <v>1245.2125000000001</v>
      </c>
      <c r="Q8" s="444">
        <f t="shared" ref="Q8:Q9" si="5">H8-P8</f>
        <v>5218.5375000000004</v>
      </c>
      <c r="R8" s="105"/>
      <c r="T8" s="115">
        <v>79</v>
      </c>
      <c r="U8" s="114" t="e">
        <f>F8-#REF!</f>
        <v>#REF!</v>
      </c>
      <c r="V8" s="114" t="e">
        <f t="shared" ref="V8:V22" si="6">U8*T8/100</f>
        <v>#REF!</v>
      </c>
      <c r="W8" s="114" t="e">
        <f t="shared" ref="W8:W22" si="7">U8-V8</f>
        <v>#REF!</v>
      </c>
    </row>
    <row r="9" spans="1:23" s="114" customFormat="1" ht="32.25" customHeight="1">
      <c r="A9" s="591">
        <v>3</v>
      </c>
      <c r="B9" s="143" t="s">
        <v>129</v>
      </c>
      <c r="C9" s="437" t="s">
        <v>130</v>
      </c>
      <c r="D9" s="557">
        <v>9652.66</v>
      </c>
      <c r="E9" s="565">
        <v>29</v>
      </c>
      <c r="F9" s="564">
        <v>9333.7199999999993</v>
      </c>
      <c r="G9" s="558"/>
      <c r="H9" s="437">
        <f t="shared" si="2"/>
        <v>9333.7199999999993</v>
      </c>
      <c r="I9" s="437">
        <f t="shared" si="3"/>
        <v>9333.7199999999993</v>
      </c>
      <c r="J9" s="143">
        <f t="shared" si="4"/>
        <v>1483.4299999999998</v>
      </c>
      <c r="K9" s="554"/>
      <c r="L9" s="437"/>
      <c r="M9" s="447">
        <f t="shared" ref="M9:M27" si="8">F9*0.07</f>
        <v>653.36040000000003</v>
      </c>
      <c r="N9" s="437">
        <f t="shared" si="0"/>
        <v>1026.7092</v>
      </c>
      <c r="O9" s="437"/>
      <c r="P9" s="437">
        <f t="shared" si="1"/>
        <v>2136.7903999999999</v>
      </c>
      <c r="Q9" s="444">
        <f t="shared" si="5"/>
        <v>7196.9295999999995</v>
      </c>
      <c r="R9" s="118"/>
      <c r="T9" s="115">
        <v>51</v>
      </c>
      <c r="U9" s="114" t="e">
        <f>F9-#REF!</f>
        <v>#REF!</v>
      </c>
      <c r="V9" s="114" t="e">
        <f t="shared" si="6"/>
        <v>#REF!</v>
      </c>
      <c r="W9" s="114" t="e">
        <f t="shared" si="7"/>
        <v>#REF!</v>
      </c>
    </row>
    <row r="10" spans="1:23" s="114" customFormat="1" ht="32.25" customHeight="1">
      <c r="A10" s="591">
        <v>4</v>
      </c>
      <c r="B10" s="143" t="s">
        <v>131</v>
      </c>
      <c r="C10" s="437" t="s">
        <v>105</v>
      </c>
      <c r="D10" s="557">
        <v>7628.58</v>
      </c>
      <c r="E10" s="558">
        <v>29</v>
      </c>
      <c r="F10" s="557">
        <v>7628.58</v>
      </c>
      <c r="G10" s="558"/>
      <c r="H10" s="437">
        <f t="shared" si="2"/>
        <v>7628.58</v>
      </c>
      <c r="I10" s="437">
        <f t="shared" si="3"/>
        <v>7628.58</v>
      </c>
      <c r="J10" s="143">
        <f t="shared" si="4"/>
        <v>1057.145</v>
      </c>
      <c r="K10" s="554"/>
      <c r="L10" s="592"/>
      <c r="M10" s="447">
        <f t="shared" si="8"/>
        <v>534.00060000000008</v>
      </c>
      <c r="N10" s="437">
        <f t="shared" si="0"/>
        <v>839.14379999999994</v>
      </c>
      <c r="O10" s="437"/>
      <c r="P10" s="437">
        <f t="shared" ref="P10:P28" si="9">J10+K10+L10+M10</f>
        <v>1591.1456000000001</v>
      </c>
      <c r="Q10" s="444">
        <f t="shared" ref="Q10:Q27" si="10">H10-P10</f>
        <v>6037.4344000000001</v>
      </c>
      <c r="R10" s="119"/>
      <c r="T10" s="115">
        <v>84</v>
      </c>
      <c r="U10" s="114" t="e">
        <f>F10-#REF!</f>
        <v>#REF!</v>
      </c>
      <c r="V10" s="114" t="e">
        <f t="shared" si="6"/>
        <v>#REF!</v>
      </c>
      <c r="W10" s="114" t="e">
        <f t="shared" si="7"/>
        <v>#REF!</v>
      </c>
    </row>
    <row r="11" spans="1:23" s="114" customFormat="1" ht="32.25" customHeight="1">
      <c r="A11" s="591">
        <v>5</v>
      </c>
      <c r="B11" s="143" t="s">
        <v>132</v>
      </c>
      <c r="C11" s="437" t="s">
        <v>133</v>
      </c>
      <c r="D11" s="557">
        <v>6542.22</v>
      </c>
      <c r="E11" s="558">
        <v>30</v>
      </c>
      <c r="F11" s="557">
        <v>6542.22</v>
      </c>
      <c r="G11" s="558"/>
      <c r="H11" s="437">
        <f t="shared" si="2"/>
        <v>6542.22</v>
      </c>
      <c r="I11" s="437">
        <f t="shared" si="3"/>
        <v>6542.22</v>
      </c>
      <c r="J11" s="143">
        <f t="shared" si="4"/>
        <v>808.44400000000019</v>
      </c>
      <c r="K11" s="554"/>
      <c r="L11" s="437"/>
      <c r="M11" s="447">
        <f t="shared" si="8"/>
        <v>457.95540000000005</v>
      </c>
      <c r="N11" s="437">
        <f t="shared" si="0"/>
        <v>719.64420000000007</v>
      </c>
      <c r="O11" s="437"/>
      <c r="P11" s="437">
        <f t="shared" si="9"/>
        <v>1266.3994000000002</v>
      </c>
      <c r="Q11" s="444">
        <f t="shared" si="10"/>
        <v>5275.8206</v>
      </c>
      <c r="R11" s="117"/>
      <c r="T11" s="115"/>
    </row>
    <row r="12" spans="1:23" s="38" customFormat="1" ht="32.25" customHeight="1">
      <c r="A12" s="591">
        <v>6</v>
      </c>
      <c r="B12" s="143" t="s">
        <v>134</v>
      </c>
      <c r="C12" s="437" t="s">
        <v>133</v>
      </c>
      <c r="D12" s="557">
        <v>5750</v>
      </c>
      <c r="E12" s="558">
        <v>30</v>
      </c>
      <c r="F12" s="557">
        <v>5750</v>
      </c>
      <c r="G12" s="558"/>
      <c r="H12" s="437">
        <f t="shared" si="2"/>
        <v>5750</v>
      </c>
      <c r="I12" s="437">
        <f t="shared" si="3"/>
        <v>5750</v>
      </c>
      <c r="J12" s="143">
        <f t="shared" si="4"/>
        <v>650</v>
      </c>
      <c r="K12" s="561">
        <v>1800</v>
      </c>
      <c r="L12" s="437"/>
      <c r="M12" s="447">
        <f t="shared" si="8"/>
        <v>402.50000000000006</v>
      </c>
      <c r="N12" s="437">
        <f t="shared" si="0"/>
        <v>632.5</v>
      </c>
      <c r="O12" s="437"/>
      <c r="P12" s="437">
        <f t="shared" si="9"/>
        <v>2852.5</v>
      </c>
      <c r="Q12" s="444">
        <f t="shared" si="10"/>
        <v>2897.5</v>
      </c>
      <c r="R12" s="88"/>
      <c r="T12" s="39">
        <v>78</v>
      </c>
      <c r="U12" s="38" t="e">
        <f>F12-#REF!</f>
        <v>#REF!</v>
      </c>
      <c r="V12" s="38" t="e">
        <f t="shared" si="6"/>
        <v>#REF!</v>
      </c>
      <c r="W12" s="38" t="e">
        <f t="shared" si="7"/>
        <v>#REF!</v>
      </c>
    </row>
    <row r="13" spans="1:23" s="79" customFormat="1" ht="32.25" customHeight="1">
      <c r="A13" s="591">
        <v>7</v>
      </c>
      <c r="B13" s="143" t="s">
        <v>135</v>
      </c>
      <c r="C13" s="437" t="s">
        <v>133</v>
      </c>
      <c r="D13" s="557">
        <v>7997.09</v>
      </c>
      <c r="E13" s="558">
        <v>30</v>
      </c>
      <c r="F13" s="557">
        <v>7997.09</v>
      </c>
      <c r="G13" s="558"/>
      <c r="H13" s="437">
        <f t="shared" si="2"/>
        <v>7997.09</v>
      </c>
      <c r="I13" s="437">
        <f t="shared" si="3"/>
        <v>7997.09</v>
      </c>
      <c r="J13" s="143">
        <f t="shared" si="4"/>
        <v>1149.2725</v>
      </c>
      <c r="K13" s="554"/>
      <c r="L13" s="592"/>
      <c r="M13" s="447">
        <f t="shared" si="8"/>
        <v>559.79630000000009</v>
      </c>
      <c r="N13" s="437">
        <f t="shared" si="0"/>
        <v>879.67989999999998</v>
      </c>
      <c r="O13" s="437"/>
      <c r="P13" s="437">
        <f t="shared" si="9"/>
        <v>1709.0688</v>
      </c>
      <c r="Q13" s="444">
        <f t="shared" si="10"/>
        <v>6288.0212000000001</v>
      </c>
      <c r="R13" s="117"/>
      <c r="T13" s="80">
        <v>80</v>
      </c>
      <c r="U13" s="79" t="e">
        <f>F13-#REF!</f>
        <v>#REF!</v>
      </c>
      <c r="V13" s="79" t="e">
        <f t="shared" si="6"/>
        <v>#REF!</v>
      </c>
      <c r="W13" s="79" t="e">
        <f t="shared" si="7"/>
        <v>#REF!</v>
      </c>
    </row>
    <row r="14" spans="1:23" s="79" customFormat="1" ht="32.25" customHeight="1">
      <c r="A14" s="591">
        <v>8</v>
      </c>
      <c r="B14" s="143" t="s">
        <v>136</v>
      </c>
      <c r="C14" s="437" t="s">
        <v>105</v>
      </c>
      <c r="D14" s="557">
        <v>7393.65</v>
      </c>
      <c r="E14" s="558">
        <v>30</v>
      </c>
      <c r="F14" s="557">
        <v>7393.65</v>
      </c>
      <c r="G14" s="558"/>
      <c r="H14" s="437">
        <f t="shared" si="2"/>
        <v>7393.65</v>
      </c>
      <c r="I14" s="437">
        <f t="shared" si="3"/>
        <v>7393.65</v>
      </c>
      <c r="J14" s="143">
        <f t="shared" si="4"/>
        <v>998.41249999999991</v>
      </c>
      <c r="K14" s="561">
        <v>1800</v>
      </c>
      <c r="L14" s="437"/>
      <c r="M14" s="447">
        <f t="shared" si="8"/>
        <v>517.55550000000005</v>
      </c>
      <c r="N14" s="437">
        <f t="shared" si="0"/>
        <v>813.30149999999992</v>
      </c>
      <c r="O14" s="437"/>
      <c r="P14" s="437">
        <f>J14+K14+L14+M14</f>
        <v>3315.9679999999998</v>
      </c>
      <c r="Q14" s="444">
        <f t="shared" si="10"/>
        <v>4077.6819999999998</v>
      </c>
      <c r="R14" s="117"/>
      <c r="T14" s="80">
        <v>90</v>
      </c>
      <c r="U14" s="79" t="e">
        <f>F14-#REF!</f>
        <v>#REF!</v>
      </c>
      <c r="V14" s="79" t="e">
        <f t="shared" si="6"/>
        <v>#REF!</v>
      </c>
      <c r="W14" s="79" t="e">
        <f t="shared" si="7"/>
        <v>#REF!</v>
      </c>
    </row>
    <row r="15" spans="1:23" s="114" customFormat="1" ht="32.25" customHeight="1">
      <c r="A15" s="591">
        <v>9</v>
      </c>
      <c r="B15" s="593" t="s">
        <v>137</v>
      </c>
      <c r="C15" s="437" t="s">
        <v>133</v>
      </c>
      <c r="D15" s="557">
        <v>4500</v>
      </c>
      <c r="E15" s="558">
        <v>30</v>
      </c>
      <c r="F15" s="557">
        <v>4500</v>
      </c>
      <c r="G15" s="558"/>
      <c r="H15" s="437">
        <f t="shared" si="2"/>
        <v>4500</v>
      </c>
      <c r="I15" s="437">
        <f t="shared" si="3"/>
        <v>4500</v>
      </c>
      <c r="J15" s="143">
        <f t="shared" si="4"/>
        <v>400</v>
      </c>
      <c r="K15" s="554"/>
      <c r="L15" s="592"/>
      <c r="M15" s="447">
        <f t="shared" si="8"/>
        <v>315.00000000000006</v>
      </c>
      <c r="N15" s="437">
        <f t="shared" si="0"/>
        <v>495</v>
      </c>
      <c r="O15" s="437"/>
      <c r="P15" s="437">
        <f t="shared" si="9"/>
        <v>715</v>
      </c>
      <c r="Q15" s="444">
        <f t="shared" si="10"/>
        <v>3785</v>
      </c>
      <c r="R15" s="117"/>
      <c r="T15" s="115">
        <v>95</v>
      </c>
      <c r="U15" s="114" t="e">
        <f>F15-#REF!</f>
        <v>#REF!</v>
      </c>
      <c r="V15" s="114" t="e">
        <f t="shared" si="6"/>
        <v>#REF!</v>
      </c>
      <c r="W15" s="114" t="e">
        <f t="shared" si="7"/>
        <v>#REF!</v>
      </c>
    </row>
    <row r="16" spans="1:23" s="16" customFormat="1" ht="32.25" customHeight="1">
      <c r="A16" s="591">
        <v>10</v>
      </c>
      <c r="B16" s="594" t="s">
        <v>138</v>
      </c>
      <c r="C16" s="450" t="s">
        <v>105</v>
      </c>
      <c r="D16" s="569">
        <v>5750</v>
      </c>
      <c r="E16" s="570">
        <v>30</v>
      </c>
      <c r="F16" s="569">
        <v>5750</v>
      </c>
      <c r="G16" s="570"/>
      <c r="H16" s="437">
        <f t="shared" si="2"/>
        <v>5750</v>
      </c>
      <c r="I16" s="450">
        <f t="shared" si="3"/>
        <v>5750</v>
      </c>
      <c r="J16" s="143">
        <f t="shared" si="4"/>
        <v>650</v>
      </c>
      <c r="K16" s="571"/>
      <c r="L16" s="595"/>
      <c r="M16" s="452">
        <f t="shared" si="8"/>
        <v>402.50000000000006</v>
      </c>
      <c r="N16" s="450">
        <f t="shared" si="0"/>
        <v>632.5</v>
      </c>
      <c r="O16" s="450"/>
      <c r="P16" s="450">
        <f t="shared" si="9"/>
        <v>1052.5</v>
      </c>
      <c r="Q16" s="446">
        <f t="shared" si="10"/>
        <v>4697.5</v>
      </c>
      <c r="R16" s="230"/>
      <c r="T16" s="20">
        <v>87</v>
      </c>
      <c r="U16" s="16" t="e">
        <f>F16-#REF!</f>
        <v>#REF!</v>
      </c>
      <c r="V16" s="16" t="e">
        <f t="shared" si="6"/>
        <v>#REF!</v>
      </c>
      <c r="W16" s="16" t="e">
        <f t="shared" si="7"/>
        <v>#REF!</v>
      </c>
    </row>
    <row r="17" spans="1:23" s="145" customFormat="1" ht="32.25" customHeight="1">
      <c r="A17" s="591">
        <v>11</v>
      </c>
      <c r="B17" s="143" t="s">
        <v>139</v>
      </c>
      <c r="C17" s="437" t="s">
        <v>133</v>
      </c>
      <c r="D17" s="557">
        <v>5000</v>
      </c>
      <c r="E17" s="558">
        <v>30</v>
      </c>
      <c r="F17" s="557">
        <v>5000</v>
      </c>
      <c r="G17" s="558"/>
      <c r="H17" s="437">
        <f t="shared" si="2"/>
        <v>5000</v>
      </c>
      <c r="I17" s="437">
        <f t="shared" si="3"/>
        <v>5000</v>
      </c>
      <c r="J17" s="143">
        <f t="shared" si="4"/>
        <v>500</v>
      </c>
      <c r="K17" s="554"/>
      <c r="L17" s="437"/>
      <c r="M17" s="447">
        <f>F17*0.07</f>
        <v>350.00000000000006</v>
      </c>
      <c r="N17" s="437">
        <f t="shared" si="0"/>
        <v>550</v>
      </c>
      <c r="O17" s="437"/>
      <c r="P17" s="437">
        <f t="shared" si="9"/>
        <v>850</v>
      </c>
      <c r="Q17" s="444">
        <f t="shared" si="10"/>
        <v>4150</v>
      </c>
      <c r="R17" s="232"/>
      <c r="T17" s="233">
        <v>88</v>
      </c>
      <c r="U17" s="145" t="e">
        <f>F17-#REF!</f>
        <v>#REF!</v>
      </c>
      <c r="V17" s="145" t="e">
        <f t="shared" si="6"/>
        <v>#REF!</v>
      </c>
      <c r="W17" s="145" t="e">
        <f t="shared" si="7"/>
        <v>#REF!</v>
      </c>
    </row>
    <row r="18" spans="1:23" s="16" customFormat="1" ht="32.25" customHeight="1">
      <c r="A18" s="591">
        <v>12</v>
      </c>
      <c r="B18" s="596" t="s">
        <v>140</v>
      </c>
      <c r="C18" s="458" t="s">
        <v>105</v>
      </c>
      <c r="D18" s="567">
        <v>4500</v>
      </c>
      <c r="E18" s="597">
        <v>30</v>
      </c>
      <c r="F18" s="567">
        <v>4500</v>
      </c>
      <c r="G18" s="597"/>
      <c r="H18" s="437">
        <f t="shared" si="2"/>
        <v>4500</v>
      </c>
      <c r="I18" s="458">
        <f t="shared" si="3"/>
        <v>4500</v>
      </c>
      <c r="J18" s="143">
        <f t="shared" si="4"/>
        <v>400</v>
      </c>
      <c r="K18" s="598"/>
      <c r="L18" s="599"/>
      <c r="M18" s="457">
        <f t="shared" si="8"/>
        <v>315.00000000000006</v>
      </c>
      <c r="N18" s="458">
        <f t="shared" si="0"/>
        <v>495</v>
      </c>
      <c r="O18" s="458"/>
      <c r="P18" s="458">
        <f t="shared" si="9"/>
        <v>715</v>
      </c>
      <c r="Q18" s="459">
        <f t="shared" si="10"/>
        <v>3785</v>
      </c>
      <c r="R18" s="231"/>
      <c r="S18" s="16" t="s">
        <v>141</v>
      </c>
      <c r="T18" s="20">
        <v>84</v>
      </c>
      <c r="U18" s="16" t="e">
        <f>F18-#REF!</f>
        <v>#REF!</v>
      </c>
      <c r="V18" s="16" t="e">
        <f t="shared" si="6"/>
        <v>#REF!</v>
      </c>
      <c r="W18" s="16" t="e">
        <f t="shared" si="7"/>
        <v>#REF!</v>
      </c>
    </row>
    <row r="19" spans="1:23" s="38" customFormat="1" ht="32.25" customHeight="1">
      <c r="A19" s="591">
        <v>13</v>
      </c>
      <c r="B19" s="593" t="s">
        <v>142</v>
      </c>
      <c r="C19" s="437" t="s">
        <v>133</v>
      </c>
      <c r="D19" s="557">
        <v>5750</v>
      </c>
      <c r="E19" s="565">
        <v>29</v>
      </c>
      <c r="F19" s="564">
        <v>5558.33</v>
      </c>
      <c r="G19" s="558"/>
      <c r="H19" s="437">
        <f t="shared" si="2"/>
        <v>5558.33</v>
      </c>
      <c r="I19" s="437">
        <f t="shared" si="3"/>
        <v>5558.33</v>
      </c>
      <c r="J19" s="143">
        <f t="shared" si="4"/>
        <v>611.66599999999994</v>
      </c>
      <c r="K19" s="561"/>
      <c r="L19" s="437"/>
      <c r="M19" s="447">
        <f t="shared" si="8"/>
        <v>389.08310000000006</v>
      </c>
      <c r="N19" s="437">
        <f t="shared" si="0"/>
        <v>611.41629999999998</v>
      </c>
      <c r="O19" s="437"/>
      <c r="P19" s="437">
        <f t="shared" si="9"/>
        <v>1000.7491</v>
      </c>
      <c r="Q19" s="444">
        <f t="shared" si="10"/>
        <v>4557.5808999999999</v>
      </c>
      <c r="R19" s="88"/>
      <c r="T19" s="39">
        <v>82</v>
      </c>
      <c r="U19" s="38" t="e">
        <f>F19-#REF!</f>
        <v>#REF!</v>
      </c>
      <c r="V19" s="38" t="e">
        <f t="shared" si="6"/>
        <v>#REF!</v>
      </c>
      <c r="W19" s="38" t="e">
        <f t="shared" si="7"/>
        <v>#REF!</v>
      </c>
    </row>
    <row r="20" spans="1:23" s="79" customFormat="1" ht="32.25" customHeight="1">
      <c r="A20" s="591">
        <v>14</v>
      </c>
      <c r="B20" s="593" t="s">
        <v>143</v>
      </c>
      <c r="C20" s="437" t="s">
        <v>372</v>
      </c>
      <c r="D20" s="557">
        <v>7750</v>
      </c>
      <c r="E20" s="558">
        <v>30</v>
      </c>
      <c r="F20" s="557">
        <v>7750</v>
      </c>
      <c r="G20" s="558"/>
      <c r="H20" s="437">
        <f t="shared" si="2"/>
        <v>7750</v>
      </c>
      <c r="I20" s="437">
        <f>F20+G20</f>
        <v>7750</v>
      </c>
      <c r="J20" s="143">
        <f t="shared" si="4"/>
        <v>1087.5</v>
      </c>
      <c r="K20" s="554"/>
      <c r="L20" s="437"/>
      <c r="M20" s="447">
        <f t="shared" si="8"/>
        <v>542.5</v>
      </c>
      <c r="N20" s="437">
        <f t="shared" si="0"/>
        <v>852.5</v>
      </c>
      <c r="O20" s="437"/>
      <c r="P20" s="437">
        <f t="shared" si="9"/>
        <v>1630</v>
      </c>
      <c r="Q20" s="444">
        <f t="shared" si="10"/>
        <v>6120</v>
      </c>
      <c r="R20" s="117"/>
      <c r="T20" s="80">
        <v>88</v>
      </c>
    </row>
    <row r="21" spans="1:23" s="79" customFormat="1" ht="32.25" customHeight="1">
      <c r="A21" s="591">
        <v>15</v>
      </c>
      <c r="B21" s="593" t="s">
        <v>145</v>
      </c>
      <c r="C21" s="437" t="s">
        <v>105</v>
      </c>
      <c r="D21" s="557">
        <v>4500</v>
      </c>
      <c r="E21" s="558">
        <v>30</v>
      </c>
      <c r="F21" s="557">
        <v>4500</v>
      </c>
      <c r="G21" s="558"/>
      <c r="H21" s="437">
        <f t="shared" si="2"/>
        <v>4500</v>
      </c>
      <c r="I21" s="437">
        <f t="shared" si="3"/>
        <v>4500</v>
      </c>
      <c r="J21" s="143">
        <f t="shared" si="4"/>
        <v>400</v>
      </c>
      <c r="K21" s="561"/>
      <c r="L21" s="561">
        <v>1000</v>
      </c>
      <c r="M21" s="447">
        <f t="shared" si="8"/>
        <v>315.00000000000006</v>
      </c>
      <c r="N21" s="437">
        <f t="shared" si="0"/>
        <v>495</v>
      </c>
      <c r="O21" s="437"/>
      <c r="P21" s="437">
        <f>J21+K21+L21+M21</f>
        <v>1715</v>
      </c>
      <c r="Q21" s="444">
        <f t="shared" si="10"/>
        <v>2785</v>
      </c>
      <c r="R21" s="117"/>
      <c r="T21" s="80">
        <v>87</v>
      </c>
      <c r="U21" s="79" t="e">
        <f>F21-#REF!</f>
        <v>#REF!</v>
      </c>
      <c r="V21" s="79" t="e">
        <f t="shared" si="6"/>
        <v>#REF!</v>
      </c>
      <c r="W21" s="79" t="e">
        <f t="shared" si="7"/>
        <v>#REF!</v>
      </c>
    </row>
    <row r="22" spans="1:23" s="38" customFormat="1" ht="32.25" customHeight="1">
      <c r="A22" s="591">
        <v>16</v>
      </c>
      <c r="B22" s="143" t="s">
        <v>146</v>
      </c>
      <c r="C22" s="460" t="s">
        <v>105</v>
      </c>
      <c r="D22" s="557">
        <v>4500</v>
      </c>
      <c r="E22" s="558">
        <v>30</v>
      </c>
      <c r="F22" s="557">
        <v>4500</v>
      </c>
      <c r="G22" s="600"/>
      <c r="H22" s="437">
        <f t="shared" si="2"/>
        <v>4500</v>
      </c>
      <c r="I22" s="437">
        <f t="shared" si="3"/>
        <v>4500</v>
      </c>
      <c r="J22" s="143">
        <f t="shared" si="4"/>
        <v>400</v>
      </c>
      <c r="K22" s="601"/>
      <c r="L22" s="460"/>
      <c r="M22" s="447">
        <f t="shared" si="8"/>
        <v>315.00000000000006</v>
      </c>
      <c r="N22" s="437">
        <f t="shared" si="0"/>
        <v>495</v>
      </c>
      <c r="O22" s="437"/>
      <c r="P22" s="437">
        <f t="shared" si="9"/>
        <v>715</v>
      </c>
      <c r="Q22" s="444">
        <f t="shared" si="10"/>
        <v>3785</v>
      </c>
      <c r="R22" s="88"/>
      <c r="T22" s="39">
        <v>85</v>
      </c>
      <c r="U22" s="38" t="e">
        <f>F22-#REF!</f>
        <v>#REF!</v>
      </c>
      <c r="V22" s="38" t="e">
        <f t="shared" si="6"/>
        <v>#REF!</v>
      </c>
      <c r="W22" s="38" t="e">
        <f t="shared" si="7"/>
        <v>#REF!</v>
      </c>
    </row>
    <row r="23" spans="1:23" s="16" customFormat="1" ht="32.25" customHeight="1">
      <c r="A23" s="591">
        <v>17</v>
      </c>
      <c r="B23" s="143" t="s">
        <v>147</v>
      </c>
      <c r="C23" s="437" t="s">
        <v>133</v>
      </c>
      <c r="D23" s="557">
        <v>5000</v>
      </c>
      <c r="E23" s="558">
        <v>30</v>
      </c>
      <c r="F23" s="557">
        <v>5000</v>
      </c>
      <c r="G23" s="558"/>
      <c r="H23" s="437">
        <f t="shared" si="2"/>
        <v>5000</v>
      </c>
      <c r="I23" s="437">
        <f t="shared" si="3"/>
        <v>5000</v>
      </c>
      <c r="J23" s="143">
        <f t="shared" si="4"/>
        <v>500</v>
      </c>
      <c r="K23" s="554"/>
      <c r="L23" s="554"/>
      <c r="M23" s="447">
        <f t="shared" si="8"/>
        <v>350.00000000000006</v>
      </c>
      <c r="N23" s="437">
        <f t="shared" si="0"/>
        <v>550</v>
      </c>
      <c r="O23" s="437"/>
      <c r="P23" s="437">
        <f t="shared" si="9"/>
        <v>850</v>
      </c>
      <c r="Q23" s="444">
        <f t="shared" si="10"/>
        <v>4150</v>
      </c>
      <c r="R23" s="88"/>
      <c r="T23" s="20"/>
    </row>
    <row r="24" spans="1:23" s="38" customFormat="1" ht="32.25" customHeight="1">
      <c r="A24" s="591">
        <v>18</v>
      </c>
      <c r="B24" s="315" t="s">
        <v>148</v>
      </c>
      <c r="C24" s="437" t="s">
        <v>105</v>
      </c>
      <c r="D24" s="557">
        <v>5500</v>
      </c>
      <c r="E24" s="565">
        <v>29</v>
      </c>
      <c r="F24" s="564">
        <v>5316.66</v>
      </c>
      <c r="G24" s="558"/>
      <c r="H24" s="437">
        <f t="shared" si="2"/>
        <v>5316.66</v>
      </c>
      <c r="I24" s="437">
        <f t="shared" si="3"/>
        <v>5316.66</v>
      </c>
      <c r="J24" s="143">
        <f t="shared" si="4"/>
        <v>563.33200000000011</v>
      </c>
      <c r="K24" s="554"/>
      <c r="L24" s="437"/>
      <c r="M24" s="447">
        <f t="shared" si="8"/>
        <v>372.1662</v>
      </c>
      <c r="N24" s="437">
        <f t="shared" si="0"/>
        <v>584.83259999999996</v>
      </c>
      <c r="O24" s="437"/>
      <c r="P24" s="437">
        <f t="shared" si="9"/>
        <v>935.49820000000011</v>
      </c>
      <c r="Q24" s="444">
        <f t="shared" si="10"/>
        <v>4381.1617999999999</v>
      </c>
      <c r="R24" s="88"/>
      <c r="T24" s="39"/>
    </row>
    <row r="25" spans="1:23" s="79" customFormat="1" ht="32.25" customHeight="1">
      <c r="A25" s="591">
        <v>19</v>
      </c>
      <c r="B25" s="143" t="s">
        <v>149</v>
      </c>
      <c r="C25" s="437" t="s">
        <v>150</v>
      </c>
      <c r="D25" s="567">
        <v>8000</v>
      </c>
      <c r="E25" s="565">
        <v>28</v>
      </c>
      <c r="F25" s="568">
        <v>7466.66</v>
      </c>
      <c r="G25" s="558"/>
      <c r="H25" s="437">
        <f t="shared" si="2"/>
        <v>7466.66</v>
      </c>
      <c r="I25" s="437">
        <f t="shared" si="3"/>
        <v>7466.66</v>
      </c>
      <c r="J25" s="143">
        <f t="shared" si="4"/>
        <v>1016.665</v>
      </c>
      <c r="K25" s="554"/>
      <c r="L25" s="592"/>
      <c r="M25" s="447">
        <f>F25*0.07</f>
        <v>522.6662</v>
      </c>
      <c r="N25" s="437">
        <f t="shared" si="0"/>
        <v>821.33259999999996</v>
      </c>
      <c r="O25" s="437"/>
      <c r="P25" s="437">
        <f>J25+K25+L25+M25</f>
        <v>1539.3312000000001</v>
      </c>
      <c r="Q25" s="444">
        <f t="shared" si="10"/>
        <v>5927.3287999999993</v>
      </c>
      <c r="R25" s="120"/>
      <c r="T25" s="80"/>
    </row>
    <row r="26" spans="1:23" s="79" customFormat="1" ht="32.25" customHeight="1">
      <c r="A26" s="591">
        <v>20</v>
      </c>
      <c r="B26" s="143" t="s">
        <v>187</v>
      </c>
      <c r="C26" s="437" t="s">
        <v>105</v>
      </c>
      <c r="D26" s="567">
        <v>6000</v>
      </c>
      <c r="E26" s="558">
        <v>30</v>
      </c>
      <c r="F26" s="567">
        <v>6000</v>
      </c>
      <c r="G26" s="558"/>
      <c r="H26" s="437">
        <f t="shared" si="2"/>
        <v>6000</v>
      </c>
      <c r="I26" s="437">
        <f t="shared" si="3"/>
        <v>6000</v>
      </c>
      <c r="J26" s="143">
        <f t="shared" si="4"/>
        <v>700</v>
      </c>
      <c r="K26" s="601"/>
      <c r="L26" s="460"/>
      <c r="M26" s="447">
        <f t="shared" si="8"/>
        <v>420.00000000000006</v>
      </c>
      <c r="N26" s="437">
        <f t="shared" si="0"/>
        <v>660</v>
      </c>
      <c r="O26" s="437"/>
      <c r="P26" s="437">
        <f t="shared" si="9"/>
        <v>1120</v>
      </c>
      <c r="Q26" s="461">
        <f t="shared" si="10"/>
        <v>4880</v>
      </c>
      <c r="R26" s="190"/>
      <c r="T26" s="80"/>
    </row>
    <row r="27" spans="1:23" s="79" customFormat="1" ht="32.25" customHeight="1" thickBot="1">
      <c r="A27" s="591">
        <v>21</v>
      </c>
      <c r="B27" s="143" t="s">
        <v>151</v>
      </c>
      <c r="C27" s="437"/>
      <c r="D27" s="602">
        <v>7000</v>
      </c>
      <c r="E27" s="558">
        <v>30</v>
      </c>
      <c r="F27" s="602">
        <v>7000</v>
      </c>
      <c r="G27" s="558"/>
      <c r="H27" s="437">
        <f t="shared" si="2"/>
        <v>7000</v>
      </c>
      <c r="I27" s="437">
        <f t="shared" si="3"/>
        <v>7000</v>
      </c>
      <c r="J27" s="143">
        <f t="shared" si="4"/>
        <v>900</v>
      </c>
      <c r="K27" s="601"/>
      <c r="L27" s="592"/>
      <c r="M27" s="447">
        <f t="shared" si="8"/>
        <v>490.00000000000006</v>
      </c>
      <c r="N27" s="437">
        <f t="shared" si="0"/>
        <v>770</v>
      </c>
      <c r="O27" s="437"/>
      <c r="P27" s="437">
        <f t="shared" si="9"/>
        <v>1390</v>
      </c>
      <c r="Q27" s="461">
        <f t="shared" si="10"/>
        <v>5610</v>
      </c>
      <c r="R27" s="209"/>
    </row>
    <row r="28" spans="1:23" s="79" customFormat="1" ht="32.25" customHeight="1" thickBot="1">
      <c r="A28" s="609">
        <v>22</v>
      </c>
      <c r="B28" s="421" t="s">
        <v>196</v>
      </c>
      <c r="C28" s="463" t="s">
        <v>105</v>
      </c>
      <c r="D28" s="603">
        <v>6000</v>
      </c>
      <c r="E28" s="604">
        <v>30</v>
      </c>
      <c r="F28" s="603">
        <v>6000</v>
      </c>
      <c r="G28" s="604"/>
      <c r="H28" s="450">
        <f t="shared" si="2"/>
        <v>6000</v>
      </c>
      <c r="I28" s="463">
        <f t="shared" si="3"/>
        <v>6000</v>
      </c>
      <c r="J28" s="314">
        <f t="shared" si="4"/>
        <v>700</v>
      </c>
      <c r="K28" s="605"/>
      <c r="L28" s="463"/>
      <c r="M28" s="462">
        <f>F28*0.07</f>
        <v>420.00000000000006</v>
      </c>
      <c r="N28" s="463">
        <f t="shared" si="0"/>
        <v>660</v>
      </c>
      <c r="O28" s="463"/>
      <c r="P28" s="450">
        <f t="shared" si="9"/>
        <v>1120</v>
      </c>
      <c r="Q28" s="446">
        <f>H28-P28</f>
        <v>4880</v>
      </c>
      <c r="R28" s="121"/>
    </row>
    <row r="29" spans="1:23" ht="32.25" customHeight="1" thickBot="1">
      <c r="A29" s="610"/>
      <c r="B29" s="611" t="s">
        <v>4</v>
      </c>
      <c r="C29" s="611"/>
      <c r="D29" s="611">
        <f>SUM(D7:D28)</f>
        <v>136927.95000000001</v>
      </c>
      <c r="E29" s="611"/>
      <c r="F29" s="612">
        <f t="shared" ref="F29:K29" si="11">SUM(F7:F28)</f>
        <v>135509.32</v>
      </c>
      <c r="G29" s="613"/>
      <c r="H29" s="614">
        <f t="shared" si="11"/>
        <v>135509.32</v>
      </c>
      <c r="I29" s="615">
        <f t="shared" si="11"/>
        <v>135509.32</v>
      </c>
      <c r="J29" s="606">
        <f>SUM(J7:J28)</f>
        <v>16380.348999999998</v>
      </c>
      <c r="K29" s="616">
        <f t="shared" si="11"/>
        <v>3600</v>
      </c>
      <c r="L29" s="688">
        <f>SUM(L7:L28)</f>
        <v>1000</v>
      </c>
      <c r="M29" s="614">
        <f>SUM(M7:M28)</f>
        <v>9485.6524000000009</v>
      </c>
      <c r="N29" s="614">
        <f>SUM(N7:N28)</f>
        <v>14906.0252</v>
      </c>
      <c r="O29" s="613">
        <f>SUM(O7:O25)</f>
        <v>0</v>
      </c>
      <c r="P29" s="615">
        <f>SUM(P7:P28)</f>
        <v>30466.001400000005</v>
      </c>
      <c r="Q29" s="607">
        <v>173143.535</v>
      </c>
      <c r="R29" s="608"/>
    </row>
    <row r="30" spans="1:23" ht="32.25" customHeight="1">
      <c r="A30" s="17"/>
      <c r="B30" s="17"/>
      <c r="C30" s="17"/>
      <c r="D30" s="17"/>
      <c r="E30" s="17"/>
      <c r="F30" s="18"/>
      <c r="G30" s="17"/>
      <c r="H30" s="17"/>
      <c r="I30" s="17"/>
      <c r="J30" s="17"/>
      <c r="K30" s="17"/>
      <c r="L30" s="17"/>
      <c r="M30" s="17"/>
      <c r="N30" s="82"/>
      <c r="O30" s="17"/>
      <c r="P30" s="17"/>
      <c r="Q30" s="17"/>
      <c r="R30" s="17"/>
    </row>
    <row r="31" spans="1:23" ht="32.25" customHeight="1">
      <c r="A31" s="17"/>
      <c r="B31" s="137"/>
      <c r="C31" s="138" t="s">
        <v>180</v>
      </c>
      <c r="D31" s="138"/>
      <c r="E31" s="138"/>
      <c r="F31" s="138"/>
      <c r="G31" s="138"/>
      <c r="H31" s="139"/>
      <c r="I31" s="138"/>
      <c r="J31" s="138"/>
      <c r="K31" s="140"/>
      <c r="L31" s="140"/>
      <c r="M31" s="140"/>
      <c r="N31" s="140" t="s">
        <v>179</v>
      </c>
      <c r="O31" s="140"/>
      <c r="P31" s="17"/>
      <c r="Q31" s="17"/>
      <c r="R31" s="17"/>
      <c r="S31" s="5" t="s">
        <v>7</v>
      </c>
    </row>
    <row r="32" spans="1:23" ht="32.25" customHeight="1">
      <c r="A32" s="17"/>
      <c r="B32" s="137"/>
      <c r="C32" s="138" t="s">
        <v>5</v>
      </c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 t="s">
        <v>0</v>
      </c>
      <c r="O32" s="138"/>
      <c r="P32" s="17"/>
      <c r="Q32" s="17"/>
      <c r="R32" s="17"/>
    </row>
    <row r="33" spans="1:18" ht="25.5" customHeight="1">
      <c r="A33" s="17"/>
      <c r="B33" s="17"/>
      <c r="C33" s="17"/>
      <c r="D33" s="17"/>
      <c r="E33" s="17"/>
      <c r="F33" s="18"/>
      <c r="G33" s="17"/>
      <c r="H33" s="17"/>
      <c r="I33" s="17"/>
      <c r="J33" s="17"/>
      <c r="K33" s="17"/>
      <c r="L33" s="17"/>
      <c r="M33" s="17"/>
      <c r="N33" s="82"/>
      <c r="O33" s="17"/>
      <c r="P33" s="17"/>
      <c r="Q33" s="17"/>
      <c r="R33" s="17"/>
    </row>
    <row r="34" spans="1:18" ht="25.5" customHeight="1">
      <c r="A34" s="17"/>
      <c r="B34" s="17"/>
      <c r="C34" s="17"/>
      <c r="D34" s="17"/>
      <c r="E34" s="17"/>
      <c r="F34" s="17"/>
      <c r="G34" s="17"/>
      <c r="H34" s="17"/>
      <c r="I34" s="17"/>
      <c r="J34" s="41"/>
      <c r="K34" s="17"/>
      <c r="L34" s="17"/>
      <c r="M34" s="17"/>
      <c r="N34" s="70"/>
      <c r="O34" s="17"/>
      <c r="P34" s="17"/>
      <c r="Q34" s="17"/>
      <c r="R34" s="17"/>
    </row>
    <row r="35" spans="1:18" ht="25.5" customHeight="1">
      <c r="A35" s="17"/>
      <c r="B35" s="17"/>
      <c r="C35" s="17"/>
      <c r="D35" s="17"/>
      <c r="E35" s="18"/>
      <c r="F35" s="17"/>
      <c r="G35" s="17"/>
      <c r="H35" s="17"/>
      <c r="I35" s="17"/>
      <c r="J35" s="17"/>
      <c r="K35" s="17"/>
      <c r="L35" s="17"/>
      <c r="M35" s="17"/>
      <c r="N35" s="81"/>
      <c r="O35" s="17"/>
      <c r="P35" s="17"/>
      <c r="Q35" s="17"/>
      <c r="R35" s="17"/>
    </row>
    <row r="37" spans="1:18">
      <c r="J37" s="43"/>
    </row>
    <row r="68" ht="9" customHeight="1"/>
    <row r="69" ht="15" customHeight="1"/>
    <row r="70" ht="17.25" customHeight="1"/>
  </sheetData>
  <mergeCells count="14">
    <mergeCell ref="A2:R2"/>
    <mergeCell ref="F5:G5"/>
    <mergeCell ref="J5:N5"/>
    <mergeCell ref="A5:A6"/>
    <mergeCell ref="B5:B6"/>
    <mergeCell ref="C5:C6"/>
    <mergeCell ref="E5:E6"/>
    <mergeCell ref="H5:H6"/>
    <mergeCell ref="I5:I6"/>
    <mergeCell ref="P5:P6"/>
    <mergeCell ref="Q5:Q6"/>
    <mergeCell ref="R3:R4"/>
    <mergeCell ref="R5:R6"/>
    <mergeCell ref="A3:Q4"/>
  </mergeCells>
  <pageMargins left="0.69930555555555596" right="0.69930555555555596" top="0.55000000000000004" bottom="0.65" header="0.3" footer="0.3"/>
  <pageSetup scale="51" orientation="landscape" r:id="rId1"/>
  <rowBreaks count="2" manualBreakCount="2">
    <brk id="36" max="16383" man="1"/>
    <brk id="37" max="16383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W30"/>
  <sheetViews>
    <sheetView view="pageBreakPreview" zoomScale="60" zoomScaleNormal="90" workbookViewId="0">
      <selection activeCell="B7" sqref="B7:B8"/>
    </sheetView>
  </sheetViews>
  <sheetFormatPr defaultColWidth="9.1796875" defaultRowHeight="14.5"/>
  <cols>
    <col min="1" max="1" width="5.81640625" style="4" customWidth="1"/>
    <col min="2" max="2" width="37.26953125" style="5" customWidth="1"/>
    <col min="3" max="3" width="12.81640625" style="5" customWidth="1"/>
    <col min="4" max="4" width="13.1796875" style="5" customWidth="1"/>
    <col min="5" max="5" width="18" style="5" customWidth="1"/>
    <col min="6" max="6" width="15.1796875" style="5" customWidth="1"/>
    <col min="7" max="7" width="17.7265625" style="5" customWidth="1"/>
    <col min="8" max="8" width="14.81640625" style="5" customWidth="1"/>
    <col min="9" max="9" width="25.81640625" style="5" customWidth="1"/>
    <col min="10" max="10" width="25.7265625" style="5" customWidth="1"/>
    <col min="11" max="11" width="24.1796875" style="5" customWidth="1"/>
    <col min="12" max="12" width="15.453125" style="5" customWidth="1"/>
    <col min="13" max="13" width="16.81640625" style="5" customWidth="1"/>
    <col min="14" max="14" width="12.26953125" style="5" hidden="1" customWidth="1"/>
    <col min="15" max="15" width="23.7265625" style="5" customWidth="1"/>
    <col min="16" max="16" width="27.453125" style="5" customWidth="1"/>
    <col min="17" max="17" width="14.26953125" style="5" customWidth="1"/>
    <col min="18" max="18" width="0.26953125" style="5" hidden="1" customWidth="1"/>
    <col min="19" max="19" width="11.54296875" style="5" hidden="1" customWidth="1"/>
    <col min="20" max="20" width="9.54296875" style="5" hidden="1" customWidth="1"/>
    <col min="21" max="22" width="10.54296875" style="5" hidden="1" customWidth="1"/>
    <col min="23" max="23" width="9.1796875" style="5" hidden="1" customWidth="1"/>
    <col min="24" max="16384" width="9.1796875" style="5"/>
  </cols>
  <sheetData>
    <row r="2" spans="1:22" ht="43.5" customHeight="1">
      <c r="A2" s="769" t="s">
        <v>442</v>
      </c>
      <c r="B2" s="769"/>
      <c r="C2" s="769"/>
      <c r="D2" s="769"/>
      <c r="E2" s="769"/>
      <c r="F2" s="769"/>
      <c r="G2" s="769"/>
      <c r="H2" s="769"/>
      <c r="I2" s="769"/>
      <c r="J2" s="769"/>
      <c r="K2" s="769"/>
      <c r="L2" s="769"/>
      <c r="M2" s="769"/>
      <c r="N2" s="769"/>
      <c r="O2" s="769"/>
      <c r="P2" s="769"/>
      <c r="Q2" s="769"/>
    </row>
    <row r="3" spans="1:22" ht="43.5" customHeight="1">
      <c r="A3" s="776" t="s">
        <v>487</v>
      </c>
      <c r="B3" s="775"/>
      <c r="C3" s="775"/>
      <c r="D3" s="775"/>
      <c r="E3" s="775"/>
      <c r="F3" s="775"/>
      <c r="G3" s="775"/>
      <c r="H3" s="775"/>
      <c r="I3" s="775"/>
      <c r="J3" s="775"/>
      <c r="K3" s="775"/>
      <c r="L3" s="775"/>
      <c r="M3" s="775"/>
      <c r="N3" s="775"/>
      <c r="O3" s="775"/>
      <c r="P3" s="775"/>
      <c r="Q3" s="775"/>
    </row>
    <row r="4" spans="1:22" ht="43.5" customHeight="1">
      <c r="A4" s="775"/>
      <c r="B4" s="775"/>
      <c r="C4" s="775"/>
      <c r="D4" s="775"/>
      <c r="E4" s="775"/>
      <c r="F4" s="775"/>
      <c r="G4" s="775"/>
      <c r="H4" s="775"/>
      <c r="I4" s="775"/>
      <c r="J4" s="775"/>
      <c r="K4" s="775"/>
      <c r="L4" s="775"/>
      <c r="M4" s="775"/>
      <c r="N4" s="775"/>
      <c r="O4" s="775"/>
      <c r="P4" s="775"/>
      <c r="Q4" s="775"/>
    </row>
    <row r="5" spans="1:22" ht="43.5" customHeight="1">
      <c r="A5" s="772" t="s">
        <v>1</v>
      </c>
      <c r="B5" s="773" t="s">
        <v>2</v>
      </c>
      <c r="C5" s="770" t="s">
        <v>10</v>
      </c>
      <c r="D5" s="770" t="s">
        <v>11</v>
      </c>
      <c r="E5" s="770" t="s">
        <v>12</v>
      </c>
      <c r="F5" s="770"/>
      <c r="G5" s="770"/>
      <c r="H5" s="770"/>
      <c r="I5" s="770" t="s">
        <v>13</v>
      </c>
      <c r="J5" s="770" t="s">
        <v>14</v>
      </c>
      <c r="K5" s="771" t="s">
        <v>15</v>
      </c>
      <c r="L5" s="771"/>
      <c r="M5" s="771"/>
      <c r="N5" s="617"/>
      <c r="O5" s="770" t="s">
        <v>16</v>
      </c>
      <c r="P5" s="773" t="s">
        <v>3</v>
      </c>
      <c r="Q5" s="773" t="s">
        <v>0</v>
      </c>
      <c r="S5" s="5" t="s">
        <v>8</v>
      </c>
    </row>
    <row r="6" spans="1:22" ht="101.25" customHeight="1">
      <c r="A6" s="772"/>
      <c r="B6" s="773"/>
      <c r="C6" s="774"/>
      <c r="D6" s="770"/>
      <c r="E6" s="618" t="s">
        <v>17</v>
      </c>
      <c r="F6" s="619" t="s">
        <v>18</v>
      </c>
      <c r="G6" s="619" t="s">
        <v>152</v>
      </c>
      <c r="H6" s="619" t="s">
        <v>153</v>
      </c>
      <c r="I6" s="773"/>
      <c r="J6" s="773"/>
      <c r="K6" s="620" t="s">
        <v>22</v>
      </c>
      <c r="L6" s="621" t="s">
        <v>27</v>
      </c>
      <c r="M6" s="621" t="s">
        <v>28</v>
      </c>
      <c r="N6" s="617" t="s">
        <v>9</v>
      </c>
      <c r="O6" s="773"/>
      <c r="P6" s="773"/>
      <c r="Q6" s="773"/>
      <c r="S6" s="5" t="s">
        <v>8</v>
      </c>
    </row>
    <row r="7" spans="1:22" ht="43.5" customHeight="1">
      <c r="A7" s="622">
        <v>1</v>
      </c>
      <c r="B7" s="629" t="s">
        <v>165</v>
      </c>
      <c r="C7" s="629" t="s">
        <v>166</v>
      </c>
      <c r="D7" s="629">
        <v>30</v>
      </c>
      <c r="E7" s="630">
        <v>35000</v>
      </c>
      <c r="F7" s="631"/>
      <c r="G7" s="631"/>
      <c r="H7" s="632"/>
      <c r="I7" s="622">
        <f>E7</f>
        <v>35000</v>
      </c>
      <c r="J7" s="633">
        <f>I7</f>
        <v>35000</v>
      </c>
      <c r="K7" s="633">
        <f>J7*0.03</f>
        <v>1050</v>
      </c>
      <c r="L7" s="634"/>
      <c r="M7" s="632"/>
      <c r="N7" s="632"/>
      <c r="O7" s="630">
        <f>K7</f>
        <v>1050</v>
      </c>
      <c r="P7" s="635">
        <f>I7-O7</f>
        <v>33950</v>
      </c>
      <c r="Q7" s="623"/>
      <c r="S7" s="19">
        <v>89</v>
      </c>
      <c r="T7" s="5" t="e">
        <f>E7-#REF!</f>
        <v>#REF!</v>
      </c>
      <c r="U7" s="5" t="e">
        <f>T7*S7/100</f>
        <v>#REF!</v>
      </c>
      <c r="V7" s="5" t="e">
        <f>T7-U7</f>
        <v>#REF!</v>
      </c>
    </row>
    <row r="8" spans="1:22" ht="43.5" customHeight="1">
      <c r="A8" s="622">
        <v>2</v>
      </c>
      <c r="B8" s="629" t="s">
        <v>467</v>
      </c>
      <c r="C8" s="629"/>
      <c r="D8" s="629">
        <v>30</v>
      </c>
      <c r="E8" s="630">
        <v>15000</v>
      </c>
      <c r="F8" s="631"/>
      <c r="G8" s="631"/>
      <c r="H8" s="632"/>
      <c r="I8" s="622">
        <f>E8</f>
        <v>15000</v>
      </c>
      <c r="J8" s="633">
        <f>I8</f>
        <v>15000</v>
      </c>
      <c r="K8" s="633">
        <f>J8*0.03</f>
        <v>450</v>
      </c>
      <c r="L8" s="634"/>
      <c r="M8" s="632"/>
      <c r="N8" s="632"/>
      <c r="O8" s="630">
        <f>K8</f>
        <v>450</v>
      </c>
      <c r="P8" s="635">
        <f>I8-O8</f>
        <v>14550</v>
      </c>
      <c r="Q8" s="623"/>
      <c r="S8" s="19"/>
    </row>
    <row r="9" spans="1:22" ht="43.5" customHeight="1">
      <c r="A9" s="624"/>
      <c r="B9" s="626" t="s">
        <v>4</v>
      </c>
      <c r="C9" s="626"/>
      <c r="D9" s="626"/>
      <c r="E9" s="627">
        <f>SUM(E7:E8)</f>
        <v>50000</v>
      </c>
      <c r="F9" s="628">
        <f t="shared" ref="F9:N9" si="0">SUM(F7:F7)</f>
        <v>0</v>
      </c>
      <c r="G9" s="628">
        <f t="shared" si="0"/>
        <v>0</v>
      </c>
      <c r="H9" s="628">
        <f t="shared" si="0"/>
        <v>0</v>
      </c>
      <c r="I9" s="636">
        <f>SUM(I7:I8)</f>
        <v>50000</v>
      </c>
      <c r="J9" s="636">
        <f>SUM(J7:J8)</f>
        <v>50000</v>
      </c>
      <c r="K9" s="636">
        <f>SUM(K7:K8)</f>
        <v>1500</v>
      </c>
      <c r="L9" s="636">
        <f t="shared" si="0"/>
        <v>0</v>
      </c>
      <c r="M9" s="636">
        <f t="shared" si="0"/>
        <v>0</v>
      </c>
      <c r="N9" s="636">
        <f t="shared" si="0"/>
        <v>0</v>
      </c>
      <c r="O9" s="636">
        <f>SUM(O7:O8)</f>
        <v>1500</v>
      </c>
      <c r="P9" s="636">
        <f>SUM(P7:P8)</f>
        <v>48500</v>
      </c>
      <c r="Q9" s="625"/>
    </row>
    <row r="10" spans="1:22" ht="43.5" customHeight="1">
      <c r="A10" s="6"/>
      <c r="B10" s="7"/>
      <c r="C10" s="7"/>
      <c r="D10" s="7"/>
      <c r="E10" s="7"/>
      <c r="F10" s="7"/>
      <c r="G10" s="7"/>
      <c r="H10" s="7"/>
      <c r="I10" s="7"/>
      <c r="J10" s="13"/>
      <c r="K10" s="13"/>
      <c r="L10" s="14"/>
      <c r="M10" s="14"/>
      <c r="N10" s="14"/>
      <c r="O10" s="7"/>
      <c r="P10" s="21"/>
    </row>
    <row r="11" spans="1:22" ht="43.5" customHeight="1">
      <c r="A11" s="381" t="s">
        <v>161</v>
      </c>
      <c r="B11" s="381"/>
      <c r="C11" s="381"/>
      <c r="D11" s="381" t="s">
        <v>162</v>
      </c>
      <c r="E11" s="382"/>
      <c r="F11" s="381"/>
      <c r="G11" s="381"/>
      <c r="H11" s="381"/>
      <c r="I11" s="381" t="s">
        <v>177</v>
      </c>
      <c r="J11" s="381"/>
      <c r="K11" s="381"/>
      <c r="L11" s="381"/>
      <c r="M11" s="383"/>
      <c r="N11" s="381"/>
      <c r="O11" s="381"/>
      <c r="P11" s="381"/>
      <c r="Q11" s="17"/>
      <c r="R11" s="8"/>
    </row>
    <row r="12" spans="1:22" ht="43.5" customHeight="1">
      <c r="A12" s="381"/>
      <c r="B12" s="381"/>
      <c r="C12" s="381"/>
      <c r="D12" s="381"/>
      <c r="E12" s="381"/>
      <c r="F12" s="381"/>
      <c r="G12" s="381"/>
      <c r="H12" s="381"/>
      <c r="I12" s="381" t="s">
        <v>178</v>
      </c>
      <c r="J12" s="381"/>
      <c r="K12" s="381"/>
      <c r="L12" s="381"/>
      <c r="M12" s="384"/>
      <c r="N12" s="381"/>
      <c r="O12" s="381"/>
      <c r="P12" s="381"/>
      <c r="Q12" s="17"/>
    </row>
    <row r="13" spans="1:22" ht="43.5" customHeight="1">
      <c r="A13" s="381" t="s">
        <v>163</v>
      </c>
      <c r="B13" s="381"/>
      <c r="C13" s="381"/>
      <c r="D13" s="382" t="s">
        <v>164</v>
      </c>
      <c r="E13" s="381"/>
      <c r="F13" s="381"/>
      <c r="G13" s="381"/>
      <c r="H13" s="381"/>
      <c r="I13" s="381" t="s">
        <v>164</v>
      </c>
      <c r="J13" s="381"/>
      <c r="K13" s="381"/>
      <c r="L13" s="381"/>
      <c r="M13" s="384"/>
      <c r="N13" s="381"/>
      <c r="O13" s="381" t="s">
        <v>164</v>
      </c>
      <c r="P13" s="381"/>
      <c r="Q13" s="17"/>
      <c r="R13" s="5" t="s">
        <v>7</v>
      </c>
    </row>
    <row r="14" spans="1:22" ht="43.5" customHeight="1">
      <c r="A14" s="637"/>
      <c r="B14" s="584"/>
      <c r="C14" s="584"/>
      <c r="D14" s="584"/>
      <c r="E14" s="584"/>
      <c r="F14" s="584"/>
      <c r="G14" s="584"/>
      <c r="H14" s="584"/>
      <c r="I14" s="584"/>
      <c r="J14" s="585"/>
      <c r="K14" s="585"/>
      <c r="L14" s="586"/>
      <c r="M14" s="586"/>
      <c r="N14" s="586"/>
      <c r="O14" s="584"/>
      <c r="P14" s="586"/>
    </row>
    <row r="15" spans="1:22" ht="43.5" customHeight="1">
      <c r="A15" s="6"/>
      <c r="B15" s="7"/>
      <c r="C15" s="7"/>
      <c r="D15" s="7"/>
      <c r="E15" s="7"/>
      <c r="F15" s="7"/>
      <c r="G15" s="7"/>
      <c r="H15" s="7"/>
      <c r="I15" s="7"/>
      <c r="J15" s="13"/>
      <c r="K15" s="13"/>
      <c r="L15" s="14"/>
      <c r="M15" s="14"/>
      <c r="N15" s="14"/>
      <c r="O15" s="7"/>
      <c r="P15" s="21"/>
    </row>
    <row r="16" spans="1:22" ht="43.5" customHeight="1">
      <c r="G16" s="638"/>
    </row>
    <row r="17" spans="1:12" ht="43.5" customHeight="1">
      <c r="A17" s="5"/>
    </row>
    <row r="18" spans="1:12" ht="43.5" customHeight="1"/>
    <row r="19" spans="1:12" ht="43.5" customHeight="1"/>
    <row r="20" spans="1:12" ht="43.5" customHeight="1"/>
    <row r="21" spans="1:12" ht="43.5" customHeight="1"/>
    <row r="22" spans="1:12" ht="43.5" customHeight="1"/>
    <row r="23" spans="1:12" ht="43.5" customHeight="1"/>
    <row r="24" spans="1:12" ht="43.5" customHeight="1"/>
    <row r="25" spans="1:12" ht="43.5" customHeight="1"/>
    <row r="26" spans="1:12" ht="43.5" customHeight="1"/>
    <row r="27" spans="1:12" ht="43.5" customHeight="1"/>
    <row r="28" spans="1:12" ht="43.5" customHeight="1"/>
    <row r="29" spans="1:12" ht="43.5" customHeight="1"/>
    <row r="30" spans="1:12" ht="43.5" customHeight="1">
      <c r="L30" s="159" t="s">
        <v>195</v>
      </c>
    </row>
  </sheetData>
  <mergeCells count="14">
    <mergeCell ref="A2:Q2"/>
    <mergeCell ref="E5:H5"/>
    <mergeCell ref="K5:M5"/>
    <mergeCell ref="A5:A6"/>
    <mergeCell ref="B5:B6"/>
    <mergeCell ref="C5:C6"/>
    <mergeCell ref="D5:D6"/>
    <mergeCell ref="I5:I6"/>
    <mergeCell ref="J5:J6"/>
    <mergeCell ref="O5:O6"/>
    <mergeCell ref="P5:P6"/>
    <mergeCell ref="Q3:Q4"/>
    <mergeCell ref="Q5:Q6"/>
    <mergeCell ref="A3:P4"/>
  </mergeCells>
  <pageMargins left="0.21875" right="0.109027777777778" top="0.75" bottom="0.75" header="0.3" footer="0.3"/>
  <pageSetup scale="42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1"/>
  <sheetViews>
    <sheetView view="pageBreakPreview" topLeftCell="A163" zoomScaleNormal="100" zoomScaleSheetLayoutView="100" workbookViewId="0">
      <selection activeCell="L163" sqref="L163"/>
    </sheetView>
  </sheetViews>
  <sheetFormatPr defaultColWidth="9.1796875" defaultRowHeight="14.5"/>
  <cols>
    <col min="1" max="1" width="5.81640625" style="4" customWidth="1"/>
    <col min="2" max="2" width="27.26953125" style="5" bestFit="1" customWidth="1"/>
    <col min="3" max="3" width="22.81640625" style="5" customWidth="1"/>
    <col min="4" max="4" width="18.7265625" style="5" customWidth="1"/>
    <col min="5" max="5" width="28.453125" style="5" customWidth="1"/>
    <col min="6" max="6" width="11.81640625" style="5" customWidth="1"/>
    <col min="7" max="7" width="22.7265625" style="5" customWidth="1"/>
    <col min="8" max="8" width="27.26953125" style="5" customWidth="1"/>
    <col min="9" max="9" width="19.54296875" style="5" customWidth="1"/>
    <col min="10" max="10" width="14" style="5" customWidth="1"/>
    <col min="11" max="11" width="12.1796875" style="5" customWidth="1"/>
    <col min="12" max="12" width="15.81640625" style="5" customWidth="1"/>
    <col min="13" max="13" width="8.453125" style="5" customWidth="1"/>
    <col min="14" max="14" width="16" style="5" customWidth="1"/>
    <col min="15" max="15" width="13.7265625" style="5" customWidth="1"/>
    <col min="16" max="17" width="12.26953125" style="5" customWidth="1"/>
    <col min="18" max="18" width="11.54296875" style="5" customWidth="1"/>
    <col min="19" max="19" width="9.54296875" style="5" customWidth="1"/>
    <col min="20" max="21" width="10.54296875" style="5" customWidth="1"/>
    <col min="22" max="16384" width="9.1796875" style="5"/>
  </cols>
  <sheetData>
    <row r="1" spans="1:16" ht="24" customHeight="1">
      <c r="I1" s="5">
        <v>166416.55678000001</v>
      </c>
    </row>
    <row r="2" spans="1:16" s="101" customFormat="1" ht="24" customHeight="1" thickBot="1">
      <c r="A2" s="784" t="s">
        <v>483</v>
      </c>
      <c r="B2" s="785"/>
      <c r="C2" s="785"/>
      <c r="D2" s="785"/>
      <c r="E2" s="100"/>
      <c r="F2" s="100"/>
      <c r="G2" s="100"/>
      <c r="H2" s="100"/>
      <c r="I2" s="100">
        <v>485453.49922</v>
      </c>
      <c r="J2" s="100"/>
      <c r="K2" s="100"/>
      <c r="L2" s="100"/>
      <c r="M2" s="100"/>
      <c r="N2" s="100"/>
      <c r="O2" s="100"/>
      <c r="P2" s="100"/>
    </row>
    <row r="3" spans="1:16" ht="24" customHeight="1">
      <c r="A3" s="778" t="s">
        <v>488</v>
      </c>
      <c r="B3" s="779"/>
      <c r="C3" s="779"/>
      <c r="D3" s="780"/>
      <c r="E3" s="23"/>
      <c r="F3" s="23"/>
      <c r="G3" s="23"/>
      <c r="H3" s="23"/>
      <c r="I3" s="23">
        <v>129288.67290000001</v>
      </c>
      <c r="J3" s="23"/>
      <c r="K3" s="23"/>
      <c r="L3" s="23"/>
      <c r="M3" s="23"/>
      <c r="N3" s="23"/>
      <c r="O3" s="23"/>
      <c r="P3" s="777"/>
    </row>
    <row r="4" spans="1:16" ht="24" customHeight="1" thickBot="1">
      <c r="A4" s="781"/>
      <c r="B4" s="782"/>
      <c r="C4" s="782"/>
      <c r="D4" s="783"/>
      <c r="E4" s="23"/>
      <c r="F4" s="23"/>
      <c r="G4" s="23"/>
      <c r="H4" s="23"/>
      <c r="I4" s="23">
        <v>107889.3045</v>
      </c>
      <c r="J4" s="23"/>
      <c r="K4" s="23"/>
      <c r="L4" s="23"/>
      <c r="M4" s="23"/>
      <c r="N4" s="23"/>
      <c r="O4" s="23"/>
      <c r="P4" s="777"/>
    </row>
    <row r="5" spans="1:16" ht="24" customHeight="1" thickTop="1">
      <c r="A5" s="786" t="s">
        <v>1</v>
      </c>
      <c r="B5" s="788" t="s">
        <v>2</v>
      </c>
      <c r="C5" s="790" t="s">
        <v>167</v>
      </c>
      <c r="D5" s="792" t="s">
        <v>3</v>
      </c>
      <c r="I5" s="5">
        <v>260703.5178</v>
      </c>
    </row>
    <row r="6" spans="1:16" ht="24" customHeight="1" thickBot="1">
      <c r="A6" s="787"/>
      <c r="B6" s="789"/>
      <c r="C6" s="791"/>
      <c r="D6" s="793"/>
      <c r="I6" s="5">
        <f>SUM(I1:I5)</f>
        <v>1149751.5511999999</v>
      </c>
    </row>
    <row r="7" spans="1:16" s="22" customFormat="1" ht="24" customHeight="1">
      <c r="A7" s="1">
        <v>1</v>
      </c>
      <c r="B7" s="168" t="s">
        <v>29</v>
      </c>
      <c r="C7" s="175" t="s">
        <v>238</v>
      </c>
      <c r="D7" s="320">
        <v>11803.177</v>
      </c>
      <c r="E7" s="316" t="s">
        <v>29</v>
      </c>
      <c r="F7" s="27"/>
    </row>
    <row r="8" spans="1:16" s="22" customFormat="1" ht="24" customHeight="1">
      <c r="A8" s="1">
        <v>2</v>
      </c>
      <c r="B8" s="129" t="s">
        <v>31</v>
      </c>
      <c r="C8" s="176" t="s">
        <v>230</v>
      </c>
      <c r="D8" s="320">
        <v>7955.635400000001</v>
      </c>
      <c r="E8" s="316" t="s">
        <v>31</v>
      </c>
      <c r="F8" s="27"/>
      <c r="G8" s="22">
        <v>8623.7408999999971</v>
      </c>
    </row>
    <row r="9" spans="1:16" s="22" customFormat="1" ht="24" customHeight="1">
      <c r="A9" s="1">
        <v>3</v>
      </c>
      <c r="B9" s="129" t="s">
        <v>32</v>
      </c>
      <c r="C9" s="176" t="s">
        <v>222</v>
      </c>
      <c r="D9" s="320">
        <v>11239.418799999999</v>
      </c>
      <c r="E9" s="316" t="s">
        <v>32</v>
      </c>
      <c r="F9" s="27"/>
    </row>
    <row r="10" spans="1:16" s="22" customFormat="1" ht="24" customHeight="1">
      <c r="A10" s="1">
        <v>4</v>
      </c>
      <c r="B10" s="129" t="s">
        <v>33</v>
      </c>
      <c r="C10" s="176" t="s">
        <v>240</v>
      </c>
      <c r="D10" s="320">
        <v>11340.51</v>
      </c>
      <c r="E10" s="316" t="s">
        <v>33</v>
      </c>
      <c r="F10" s="27"/>
    </row>
    <row r="11" spans="1:16" s="22" customFormat="1" ht="24" customHeight="1">
      <c r="A11" s="1">
        <v>5</v>
      </c>
      <c r="B11" s="129" t="s">
        <v>35</v>
      </c>
      <c r="C11" s="176" t="s">
        <v>212</v>
      </c>
      <c r="D11" s="320">
        <v>11333.794</v>
      </c>
      <c r="E11" s="316" t="s">
        <v>35</v>
      </c>
      <c r="F11" s="27"/>
      <c r="H11" s="22" t="s">
        <v>7</v>
      </c>
    </row>
    <row r="12" spans="1:16" s="22" customFormat="1" ht="24" customHeight="1">
      <c r="A12" s="1">
        <v>6</v>
      </c>
      <c r="B12" s="129" t="s">
        <v>36</v>
      </c>
      <c r="C12" s="176" t="s">
        <v>231</v>
      </c>
      <c r="D12" s="320">
        <v>14361.8</v>
      </c>
      <c r="E12" s="316" t="s">
        <v>36</v>
      </c>
      <c r="F12" s="27"/>
    </row>
    <row r="13" spans="1:16" s="22" customFormat="1" ht="24" customHeight="1">
      <c r="A13" s="1">
        <v>7</v>
      </c>
      <c r="B13" s="129" t="s">
        <v>37</v>
      </c>
      <c r="C13" s="176" t="s">
        <v>236</v>
      </c>
      <c r="D13" s="320">
        <v>10334.746999999999</v>
      </c>
      <c r="E13" s="316" t="s">
        <v>37</v>
      </c>
      <c r="F13" s="27"/>
    </row>
    <row r="14" spans="1:16" s="22" customFormat="1" ht="24" customHeight="1">
      <c r="A14" s="1">
        <v>8</v>
      </c>
      <c r="B14" s="147" t="s">
        <v>38</v>
      </c>
      <c r="C14" s="176" t="s">
        <v>234</v>
      </c>
      <c r="D14" s="320">
        <v>12039.262600000002</v>
      </c>
      <c r="E14" s="317" t="s">
        <v>38</v>
      </c>
      <c r="F14" s="27"/>
    </row>
    <row r="15" spans="1:16" s="22" customFormat="1" ht="24" customHeight="1">
      <c r="A15" s="1">
        <v>9</v>
      </c>
      <c r="B15" s="147" t="s">
        <v>39</v>
      </c>
      <c r="C15" s="176" t="s">
        <v>232</v>
      </c>
      <c r="D15" s="320">
        <v>11211.361799999999</v>
      </c>
      <c r="E15" s="317" t="s">
        <v>39</v>
      </c>
      <c r="F15" s="27"/>
    </row>
    <row r="16" spans="1:16" s="22" customFormat="1" ht="24" customHeight="1">
      <c r="A16" s="1">
        <v>10</v>
      </c>
      <c r="B16" s="147" t="s">
        <v>40</v>
      </c>
      <c r="C16" s="176" t="s">
        <v>383</v>
      </c>
      <c r="D16" s="320">
        <v>15500.82</v>
      </c>
      <c r="E16" s="317" t="s">
        <v>40</v>
      </c>
      <c r="F16" s="27"/>
    </row>
    <row r="17" spans="1:6" ht="24" customHeight="1">
      <c r="A17" s="1">
        <v>11</v>
      </c>
      <c r="B17" s="147" t="s">
        <v>41</v>
      </c>
      <c r="C17" s="176" t="s">
        <v>308</v>
      </c>
      <c r="D17" s="320">
        <v>11097.346600000001</v>
      </c>
      <c r="E17" s="317" t="s">
        <v>41</v>
      </c>
      <c r="F17" s="24"/>
    </row>
    <row r="18" spans="1:6" s="22" customFormat="1" ht="24" customHeight="1">
      <c r="A18" s="1">
        <v>12</v>
      </c>
      <c r="B18" s="147" t="s">
        <v>42</v>
      </c>
      <c r="C18" s="176" t="s">
        <v>213</v>
      </c>
      <c r="D18" s="320">
        <v>3638.6039999999994</v>
      </c>
      <c r="E18" s="317" t="s">
        <v>42</v>
      </c>
      <c r="F18" s="27"/>
    </row>
    <row r="19" spans="1:6" s="22" customFormat="1" ht="24" customHeight="1">
      <c r="A19" s="1">
        <v>13</v>
      </c>
      <c r="B19" s="147" t="s">
        <v>43</v>
      </c>
      <c r="C19" s="176" t="s">
        <v>241</v>
      </c>
      <c r="D19" s="320">
        <v>11894.8917</v>
      </c>
      <c r="E19" s="317" t="s">
        <v>43</v>
      </c>
      <c r="F19" s="27"/>
    </row>
    <row r="20" spans="1:6" ht="24" customHeight="1">
      <c r="A20" s="1">
        <v>14</v>
      </c>
      <c r="B20" s="147" t="s">
        <v>44</v>
      </c>
      <c r="C20" s="176" t="s">
        <v>295</v>
      </c>
      <c r="D20" s="320">
        <v>9438.0133999999998</v>
      </c>
      <c r="E20" s="317" t="s">
        <v>44</v>
      </c>
      <c r="F20" s="24"/>
    </row>
    <row r="21" spans="1:6" s="22" customFormat="1" ht="24.75" customHeight="1">
      <c r="A21" s="1">
        <v>15</v>
      </c>
      <c r="B21" s="129" t="s">
        <v>45</v>
      </c>
      <c r="C21" s="176" t="s">
        <v>215</v>
      </c>
      <c r="D21" s="320">
        <v>4320.4133999999995</v>
      </c>
      <c r="E21" s="316" t="s">
        <v>45</v>
      </c>
      <c r="F21" s="27"/>
    </row>
    <row r="22" spans="1:6" ht="24" customHeight="1">
      <c r="A22" s="1">
        <v>16</v>
      </c>
      <c r="B22" s="129" t="s">
        <v>46</v>
      </c>
      <c r="C22" s="176" t="s">
        <v>370</v>
      </c>
      <c r="D22" s="320">
        <v>7143.5849999999991</v>
      </c>
      <c r="E22" s="316" t="s">
        <v>46</v>
      </c>
      <c r="F22" s="24"/>
    </row>
    <row r="23" spans="1:6" ht="24" customHeight="1">
      <c r="A23" s="1">
        <v>17</v>
      </c>
      <c r="B23" s="129" t="s">
        <v>47</v>
      </c>
      <c r="C23" s="176" t="s">
        <v>306</v>
      </c>
      <c r="D23" s="320">
        <v>7790.8451999999997</v>
      </c>
      <c r="E23" s="316" t="s">
        <v>47</v>
      </c>
      <c r="F23" s="24"/>
    </row>
    <row r="24" spans="1:6" ht="24" customHeight="1">
      <c r="A24" s="1">
        <v>18</v>
      </c>
      <c r="B24" s="129" t="s">
        <v>48</v>
      </c>
      <c r="C24" s="176" t="s">
        <v>309</v>
      </c>
      <c r="D24" s="320">
        <v>8601.26</v>
      </c>
      <c r="E24" s="316" t="s">
        <v>48</v>
      </c>
      <c r="F24" s="24"/>
    </row>
    <row r="25" spans="1:6" s="16" customFormat="1" ht="24" customHeight="1">
      <c r="A25" s="1">
        <v>19</v>
      </c>
      <c r="B25" s="154" t="s">
        <v>49</v>
      </c>
      <c r="C25" s="176" t="s">
        <v>369</v>
      </c>
      <c r="D25" s="320">
        <v>9816.76</v>
      </c>
      <c r="E25" s="344" t="s">
        <v>49</v>
      </c>
      <c r="F25" s="40"/>
    </row>
    <row r="26" spans="1:6" ht="24" customHeight="1">
      <c r="A26" s="1">
        <v>20</v>
      </c>
      <c r="B26" s="131" t="s">
        <v>50</v>
      </c>
      <c r="C26" s="176" t="s">
        <v>310</v>
      </c>
      <c r="D26" s="320">
        <v>10752.651360000002</v>
      </c>
      <c r="E26" s="345" t="s">
        <v>50</v>
      </c>
      <c r="F26" s="24"/>
    </row>
    <row r="27" spans="1:6" ht="24" customHeight="1">
      <c r="A27" s="1">
        <v>21</v>
      </c>
      <c r="B27" s="131" t="s">
        <v>51</v>
      </c>
      <c r="C27" s="176" t="s">
        <v>224</v>
      </c>
      <c r="D27" s="320">
        <v>3141.3599999999997</v>
      </c>
      <c r="E27" s="345" t="s">
        <v>51</v>
      </c>
      <c r="F27" s="24"/>
    </row>
    <row r="28" spans="1:6" ht="24" customHeight="1">
      <c r="A28" s="1">
        <v>22</v>
      </c>
      <c r="B28" s="131" t="s">
        <v>52</v>
      </c>
      <c r="C28" s="176" t="s">
        <v>235</v>
      </c>
      <c r="D28" s="320">
        <v>7040.1090999999997</v>
      </c>
      <c r="E28" s="345" t="s">
        <v>52</v>
      </c>
      <c r="F28" s="24"/>
    </row>
    <row r="29" spans="1:6" ht="24" customHeight="1">
      <c r="A29" s="1">
        <v>23</v>
      </c>
      <c r="B29" s="129" t="s">
        <v>53</v>
      </c>
      <c r="C29" s="176" t="s">
        <v>311</v>
      </c>
      <c r="D29" s="320">
        <v>4601.2599999999993</v>
      </c>
      <c r="E29" s="316" t="s">
        <v>53</v>
      </c>
      <c r="F29" s="24"/>
    </row>
    <row r="30" spans="1:6" s="22" customFormat="1" ht="24" customHeight="1">
      <c r="A30" s="1">
        <v>24</v>
      </c>
      <c r="B30" s="129" t="s">
        <v>367</v>
      </c>
      <c r="C30" s="176" t="s">
        <v>258</v>
      </c>
      <c r="D30" s="320">
        <v>11422.592000000001</v>
      </c>
      <c r="E30" s="316" t="s">
        <v>367</v>
      </c>
      <c r="F30" s="27"/>
    </row>
    <row r="31" spans="1:6" s="22" customFormat="1" ht="24" customHeight="1">
      <c r="A31" s="1">
        <v>25</v>
      </c>
      <c r="B31" s="129" t="s">
        <v>54</v>
      </c>
      <c r="C31" s="176" t="s">
        <v>218</v>
      </c>
      <c r="D31" s="320">
        <v>7332.36</v>
      </c>
      <c r="E31" s="316" t="s">
        <v>54</v>
      </c>
      <c r="F31" s="27"/>
    </row>
    <row r="32" spans="1:6" ht="24" customHeight="1">
      <c r="A32" s="1">
        <v>26</v>
      </c>
      <c r="B32" s="131" t="s">
        <v>55</v>
      </c>
      <c r="C32" s="176" t="s">
        <v>223</v>
      </c>
      <c r="D32" s="320">
        <v>8180</v>
      </c>
      <c r="E32" s="345" t="s">
        <v>55</v>
      </c>
      <c r="F32" s="24"/>
    </row>
    <row r="33" spans="1:6" ht="24" customHeight="1">
      <c r="A33" s="1">
        <v>27</v>
      </c>
      <c r="B33" s="131" t="s">
        <v>56</v>
      </c>
      <c r="C33" s="176" t="s">
        <v>312</v>
      </c>
      <c r="D33" s="320">
        <v>3750</v>
      </c>
      <c r="E33" s="345" t="s">
        <v>56</v>
      </c>
      <c r="F33" s="24"/>
    </row>
    <row r="34" spans="1:6" ht="24" customHeight="1">
      <c r="A34" s="1">
        <v>28</v>
      </c>
      <c r="B34" s="131" t="s">
        <v>57</v>
      </c>
      <c r="C34" s="176" t="s">
        <v>276</v>
      </c>
      <c r="D34" s="320">
        <v>11545</v>
      </c>
      <c r="E34" s="345" t="s">
        <v>57</v>
      </c>
      <c r="F34" s="24"/>
    </row>
    <row r="35" spans="1:6" ht="24" customHeight="1">
      <c r="A35" s="1">
        <v>29</v>
      </c>
      <c r="B35" s="131" t="s">
        <v>59</v>
      </c>
      <c r="C35" s="176" t="s">
        <v>242</v>
      </c>
      <c r="D35" s="320">
        <v>4211</v>
      </c>
      <c r="E35" s="345" t="s">
        <v>59</v>
      </c>
      <c r="F35" s="24"/>
    </row>
    <row r="36" spans="1:6" ht="24" customHeight="1">
      <c r="A36" s="1">
        <v>30</v>
      </c>
      <c r="B36" s="131" t="s">
        <v>347</v>
      </c>
      <c r="C36" s="176" t="s">
        <v>285</v>
      </c>
      <c r="D36" s="320">
        <v>5480</v>
      </c>
      <c r="E36" s="345" t="s">
        <v>347</v>
      </c>
      <c r="F36" s="24"/>
    </row>
    <row r="37" spans="1:6" ht="24" customHeight="1">
      <c r="A37" s="1">
        <v>31</v>
      </c>
      <c r="B37" s="131" t="s">
        <v>358</v>
      </c>
      <c r="C37" s="176" t="s">
        <v>302</v>
      </c>
      <c r="D37" s="320">
        <v>11440</v>
      </c>
      <c r="E37" s="345" t="s">
        <v>358</v>
      </c>
      <c r="F37" s="24"/>
    </row>
    <row r="38" spans="1:6" ht="24" customHeight="1">
      <c r="A38" s="1">
        <v>32</v>
      </c>
      <c r="B38" s="131" t="s">
        <v>62</v>
      </c>
      <c r="C38" s="176" t="s">
        <v>313</v>
      </c>
      <c r="D38" s="320">
        <v>5060</v>
      </c>
      <c r="E38" s="345" t="s">
        <v>62</v>
      </c>
      <c r="F38" s="24"/>
    </row>
    <row r="39" spans="1:6" ht="24" customHeight="1">
      <c r="A39" s="1">
        <v>33</v>
      </c>
      <c r="B39" s="131" t="s">
        <v>348</v>
      </c>
      <c r="C39" s="176" t="s">
        <v>351</v>
      </c>
      <c r="D39" s="320">
        <v>11288.333333333336</v>
      </c>
      <c r="E39" s="345" t="s">
        <v>348</v>
      </c>
      <c r="F39" s="24"/>
    </row>
    <row r="40" spans="1:6" ht="24" customHeight="1">
      <c r="A40" s="1">
        <v>34</v>
      </c>
      <c r="B40" s="131" t="s">
        <v>64</v>
      </c>
      <c r="C40" s="176" t="s">
        <v>237</v>
      </c>
      <c r="D40" s="320">
        <v>1505.7000000000007</v>
      </c>
      <c r="E40" s="345" t="s">
        <v>64</v>
      </c>
      <c r="F40" s="24"/>
    </row>
    <row r="41" spans="1:6" s="22" customFormat="1" ht="24" customHeight="1">
      <c r="A41" s="1">
        <v>35</v>
      </c>
      <c r="B41" s="131" t="s">
        <v>65</v>
      </c>
      <c r="C41" s="176" t="s">
        <v>314</v>
      </c>
      <c r="D41" s="320">
        <v>10265</v>
      </c>
      <c r="E41" s="345" t="s">
        <v>65</v>
      </c>
      <c r="F41" s="27"/>
    </row>
    <row r="42" spans="1:6" s="22" customFormat="1" ht="24" customHeight="1">
      <c r="A42" s="1">
        <v>36</v>
      </c>
      <c r="B42" s="131" t="s">
        <v>66</v>
      </c>
      <c r="C42" s="176" t="s">
        <v>259</v>
      </c>
      <c r="D42" s="320">
        <v>9765</v>
      </c>
      <c r="E42" s="345" t="s">
        <v>66</v>
      </c>
      <c r="F42" s="27"/>
    </row>
    <row r="43" spans="1:6" s="22" customFormat="1" ht="24" customHeight="1">
      <c r="A43" s="1">
        <v>37</v>
      </c>
      <c r="B43" s="131" t="s">
        <v>67</v>
      </c>
      <c r="C43" s="176" t="s">
        <v>271</v>
      </c>
      <c r="D43" s="321">
        <v>5850</v>
      </c>
      <c r="E43" s="345" t="s">
        <v>67</v>
      </c>
      <c r="F43" s="27"/>
    </row>
    <row r="44" spans="1:6" ht="24" customHeight="1">
      <c r="A44" s="1">
        <v>38</v>
      </c>
      <c r="B44" s="130" t="s">
        <v>68</v>
      </c>
      <c r="C44" s="176" t="s">
        <v>239</v>
      </c>
      <c r="D44" s="320">
        <v>9860</v>
      </c>
      <c r="E44" s="346" t="s">
        <v>68</v>
      </c>
      <c r="F44" s="24"/>
    </row>
    <row r="45" spans="1:6" s="16" customFormat="1" ht="24" customHeight="1">
      <c r="A45" s="1">
        <v>39</v>
      </c>
      <c r="B45" s="130" t="s">
        <v>189</v>
      </c>
      <c r="C45" s="176" t="s">
        <v>286</v>
      </c>
      <c r="D45" s="320">
        <v>9293</v>
      </c>
      <c r="E45" s="346" t="s">
        <v>189</v>
      </c>
      <c r="F45" s="40"/>
    </row>
    <row r="46" spans="1:6" s="16" customFormat="1" ht="24" customHeight="1">
      <c r="A46" s="1">
        <v>40</v>
      </c>
      <c r="B46" s="169" t="s">
        <v>190</v>
      </c>
      <c r="C46" s="176" t="s">
        <v>315</v>
      </c>
      <c r="D46" s="321">
        <v>7806.4979000000003</v>
      </c>
      <c r="E46" s="347" t="s">
        <v>190</v>
      </c>
      <c r="F46" s="40"/>
    </row>
    <row r="47" spans="1:6" s="114" customFormat="1" ht="24" customHeight="1">
      <c r="A47" s="1">
        <v>41</v>
      </c>
      <c r="B47" s="130" t="s">
        <v>243</v>
      </c>
      <c r="C47" s="170" t="s">
        <v>251</v>
      </c>
      <c r="D47" s="321">
        <v>10450</v>
      </c>
      <c r="E47" s="346" t="s">
        <v>243</v>
      </c>
      <c r="F47" s="127"/>
    </row>
    <row r="48" spans="1:6" s="114" customFormat="1" ht="24" customHeight="1">
      <c r="A48" s="1">
        <v>42</v>
      </c>
      <c r="B48" s="130" t="s">
        <v>244</v>
      </c>
      <c r="C48" s="170" t="s">
        <v>253</v>
      </c>
      <c r="D48" s="321">
        <v>11230</v>
      </c>
      <c r="E48" s="346" t="s">
        <v>244</v>
      </c>
      <c r="F48" s="127"/>
    </row>
    <row r="49" spans="1:6" s="114" customFormat="1" ht="24" customHeight="1">
      <c r="A49" s="1">
        <v>43</v>
      </c>
      <c r="B49" s="130" t="s">
        <v>245</v>
      </c>
      <c r="C49" s="170" t="s">
        <v>252</v>
      </c>
      <c r="D49" s="321">
        <v>8312</v>
      </c>
      <c r="E49" s="346" t="s">
        <v>245</v>
      </c>
      <c r="F49" s="127"/>
    </row>
    <row r="50" spans="1:6" s="114" customFormat="1" ht="24" customHeight="1">
      <c r="A50" s="1">
        <v>44</v>
      </c>
      <c r="B50" s="130" t="s">
        <v>246</v>
      </c>
      <c r="C50" s="170" t="s">
        <v>283</v>
      </c>
      <c r="D50" s="321">
        <v>12462</v>
      </c>
      <c r="E50" s="346" t="s">
        <v>246</v>
      </c>
      <c r="F50" s="127"/>
    </row>
    <row r="51" spans="1:6" s="114" customFormat="1" ht="24" customHeight="1">
      <c r="A51" s="1">
        <v>45</v>
      </c>
      <c r="B51" s="130" t="s">
        <v>247</v>
      </c>
      <c r="C51" s="170" t="s">
        <v>426</v>
      </c>
      <c r="D51" s="321">
        <v>10460</v>
      </c>
      <c r="E51" s="346" t="s">
        <v>247</v>
      </c>
      <c r="F51" s="127"/>
    </row>
    <row r="52" spans="1:6" s="114" customFormat="1" ht="24" customHeight="1">
      <c r="A52" s="1">
        <v>46</v>
      </c>
      <c r="B52" s="130" t="s">
        <v>248</v>
      </c>
      <c r="C52" s="170" t="s">
        <v>273</v>
      </c>
      <c r="D52" s="321">
        <v>11075</v>
      </c>
      <c r="E52" s="346" t="s">
        <v>248</v>
      </c>
      <c r="F52" s="127"/>
    </row>
    <row r="53" spans="1:6" s="114" customFormat="1" ht="24" customHeight="1">
      <c r="A53" s="1">
        <v>47</v>
      </c>
      <c r="B53" s="169" t="s">
        <v>444</v>
      </c>
      <c r="C53" s="170" t="s">
        <v>301</v>
      </c>
      <c r="D53" s="321">
        <v>11230</v>
      </c>
      <c r="E53" s="347" t="s">
        <v>444</v>
      </c>
      <c r="F53" s="127"/>
    </row>
    <row r="54" spans="1:6" s="114" customFormat="1" ht="24" customHeight="1">
      <c r="A54" s="1">
        <v>48</v>
      </c>
      <c r="B54" s="130" t="s">
        <v>249</v>
      </c>
      <c r="C54" s="170" t="s">
        <v>307</v>
      </c>
      <c r="D54" s="320">
        <v>8070</v>
      </c>
      <c r="E54" s="346" t="s">
        <v>249</v>
      </c>
      <c r="F54" s="127"/>
    </row>
    <row r="55" spans="1:6" s="114" customFormat="1" ht="24" customHeight="1">
      <c r="A55" s="1">
        <v>49</v>
      </c>
      <c r="B55" s="130" t="s">
        <v>344</v>
      </c>
      <c r="C55" s="170" t="s">
        <v>421</v>
      </c>
      <c r="D55" s="320">
        <v>10460</v>
      </c>
      <c r="E55" s="346" t="s">
        <v>344</v>
      </c>
      <c r="F55" s="127"/>
    </row>
    <row r="56" spans="1:6" s="114" customFormat="1" ht="24" customHeight="1">
      <c r="A56" s="1">
        <v>50</v>
      </c>
      <c r="B56" s="130" t="s">
        <v>345</v>
      </c>
      <c r="C56" s="170" t="s">
        <v>420</v>
      </c>
      <c r="D56" s="320">
        <v>9850</v>
      </c>
      <c r="E56" s="346" t="s">
        <v>345</v>
      </c>
      <c r="F56" s="127"/>
    </row>
    <row r="57" spans="1:6" s="114" customFormat="1" ht="24" customHeight="1">
      <c r="A57" s="1">
        <v>51</v>
      </c>
      <c r="B57" s="130" t="s">
        <v>346</v>
      </c>
      <c r="C57" s="170" t="s">
        <v>352</v>
      </c>
      <c r="D57" s="320">
        <v>3930</v>
      </c>
      <c r="E57" s="346" t="s">
        <v>346</v>
      </c>
      <c r="F57" s="127"/>
    </row>
    <row r="58" spans="1:6" s="114" customFormat="1" ht="24" customHeight="1">
      <c r="A58" s="1">
        <v>52</v>
      </c>
      <c r="B58" s="130" t="s">
        <v>445</v>
      </c>
      <c r="C58" s="170" t="s">
        <v>457</v>
      </c>
      <c r="D58" s="320">
        <v>9772</v>
      </c>
      <c r="E58" s="346" t="s">
        <v>445</v>
      </c>
      <c r="F58" s="127"/>
    </row>
    <row r="59" spans="1:6" s="79" customFormat="1" ht="24" customHeight="1">
      <c r="A59" s="1">
        <v>53</v>
      </c>
      <c r="B59" s="3" t="s">
        <v>71</v>
      </c>
      <c r="C59" s="170" t="s">
        <v>269</v>
      </c>
      <c r="D59" s="664">
        <v>9918</v>
      </c>
      <c r="E59" s="460" t="s">
        <v>71</v>
      </c>
      <c r="F59" s="162"/>
    </row>
    <row r="60" spans="1:6" s="79" customFormat="1" ht="24" customHeight="1">
      <c r="A60" s="1">
        <v>54</v>
      </c>
      <c r="B60" s="3" t="s">
        <v>73</v>
      </c>
      <c r="C60" s="170" t="s">
        <v>210</v>
      </c>
      <c r="D60" s="664">
        <v>5500.2800000000007</v>
      </c>
      <c r="E60" s="460" t="s">
        <v>73</v>
      </c>
      <c r="F60" s="162"/>
    </row>
    <row r="61" spans="1:6" ht="24" customHeight="1">
      <c r="A61" s="1">
        <v>55</v>
      </c>
      <c r="B61" s="3" t="s">
        <v>74</v>
      </c>
      <c r="C61" s="176" t="s">
        <v>255</v>
      </c>
      <c r="D61" s="665">
        <v>5981.1939000000002</v>
      </c>
      <c r="E61" s="460" t="s">
        <v>74</v>
      </c>
      <c r="F61" s="24"/>
    </row>
    <row r="62" spans="1:6" ht="24" customHeight="1">
      <c r="A62" s="1">
        <v>56</v>
      </c>
      <c r="B62" s="3" t="s">
        <v>75</v>
      </c>
      <c r="C62" s="176" t="s">
        <v>299</v>
      </c>
      <c r="D62" s="666">
        <v>4830</v>
      </c>
      <c r="E62" s="460" t="s">
        <v>75</v>
      </c>
      <c r="F62" s="24"/>
    </row>
    <row r="63" spans="1:6" ht="24" customHeight="1">
      <c r="A63" s="1">
        <v>57</v>
      </c>
      <c r="B63" s="3" t="s">
        <v>261</v>
      </c>
      <c r="C63" s="176" t="s">
        <v>323</v>
      </c>
      <c r="D63" s="667">
        <v>9762</v>
      </c>
      <c r="E63" s="659" t="s">
        <v>261</v>
      </c>
      <c r="F63" s="28"/>
    </row>
    <row r="64" spans="1:6" ht="24" customHeight="1">
      <c r="A64" s="1">
        <v>58</v>
      </c>
      <c r="B64" s="3" t="s">
        <v>76</v>
      </c>
      <c r="C64" s="176" t="s">
        <v>292</v>
      </c>
      <c r="D64" s="667">
        <v>5559.4328999999998</v>
      </c>
      <c r="E64" s="460" t="s">
        <v>76</v>
      </c>
      <c r="F64" s="29"/>
    </row>
    <row r="65" spans="1:8" ht="24" customHeight="1">
      <c r="A65" s="1">
        <v>59</v>
      </c>
      <c r="B65" s="3" t="s">
        <v>77</v>
      </c>
      <c r="C65" s="176" t="s">
        <v>324</v>
      </c>
      <c r="D65" s="667">
        <v>6759.0163999999995</v>
      </c>
      <c r="E65" s="460" t="s">
        <v>77</v>
      </c>
      <c r="F65" s="29"/>
    </row>
    <row r="66" spans="1:8" ht="24" customHeight="1">
      <c r="A66" s="1">
        <v>60</v>
      </c>
      <c r="B66" s="3" t="s">
        <v>263</v>
      </c>
      <c r="C66" s="176" t="s">
        <v>325</v>
      </c>
      <c r="D66" s="667">
        <v>7162</v>
      </c>
      <c r="E66" s="460" t="s">
        <v>263</v>
      </c>
      <c r="F66" s="29"/>
    </row>
    <row r="67" spans="1:8" s="22" customFormat="1" ht="24" customHeight="1">
      <c r="A67" s="1">
        <v>61</v>
      </c>
      <c r="B67" s="96" t="s">
        <v>262</v>
      </c>
      <c r="C67" s="176" t="s">
        <v>272</v>
      </c>
      <c r="D67" s="667">
        <v>7842</v>
      </c>
      <c r="E67" s="660" t="s">
        <v>262</v>
      </c>
      <c r="F67" s="163"/>
    </row>
    <row r="68" spans="1:8" ht="24" customHeight="1">
      <c r="A68" s="1">
        <v>62</v>
      </c>
      <c r="B68" s="96" t="s">
        <v>264</v>
      </c>
      <c r="C68" s="176" t="s">
        <v>326</v>
      </c>
      <c r="D68" s="667">
        <v>9132</v>
      </c>
      <c r="E68" s="660" t="s">
        <v>264</v>
      </c>
      <c r="F68" s="30"/>
    </row>
    <row r="69" spans="1:8" s="22" customFormat="1" ht="24" customHeight="1">
      <c r="A69" s="1">
        <v>63</v>
      </c>
      <c r="B69" s="96" t="s">
        <v>265</v>
      </c>
      <c r="C69" s="176" t="s">
        <v>270</v>
      </c>
      <c r="D69" s="667">
        <v>4677</v>
      </c>
      <c r="E69" s="661" t="s">
        <v>265</v>
      </c>
      <c r="F69" s="163"/>
    </row>
    <row r="70" spans="1:8" ht="24" customHeight="1">
      <c r="A70" s="1">
        <v>64</v>
      </c>
      <c r="B70" s="96" t="s">
        <v>168</v>
      </c>
      <c r="C70" s="176" t="s">
        <v>327</v>
      </c>
      <c r="D70" s="667">
        <v>5135.5</v>
      </c>
      <c r="E70" s="661" t="s">
        <v>168</v>
      </c>
      <c r="F70" s="31"/>
    </row>
    <row r="71" spans="1:8" ht="24" customHeight="1">
      <c r="A71" s="1">
        <v>65</v>
      </c>
      <c r="B71" s="96" t="s">
        <v>78</v>
      </c>
      <c r="C71" s="176" t="s">
        <v>328</v>
      </c>
      <c r="D71" s="667">
        <v>4770.5</v>
      </c>
      <c r="E71" s="661" t="s">
        <v>78</v>
      </c>
      <c r="F71" s="29"/>
    </row>
    <row r="72" spans="1:8" ht="24" customHeight="1">
      <c r="A72" s="1">
        <v>66</v>
      </c>
      <c r="B72" s="96" t="s">
        <v>80</v>
      </c>
      <c r="C72" s="176" t="s">
        <v>329</v>
      </c>
      <c r="D72" s="667">
        <v>6932.3053333333337</v>
      </c>
      <c r="E72" s="661" t="s">
        <v>80</v>
      </c>
      <c r="F72" s="31"/>
    </row>
    <row r="73" spans="1:8" ht="24" customHeight="1">
      <c r="A73" s="1">
        <v>67</v>
      </c>
      <c r="B73" s="96" t="s">
        <v>81</v>
      </c>
      <c r="C73" s="176" t="s">
        <v>330</v>
      </c>
      <c r="D73" s="667">
        <v>7142.04</v>
      </c>
      <c r="E73" s="661" t="s">
        <v>81</v>
      </c>
      <c r="F73" s="31"/>
      <c r="H73" s="5">
        <v>2779.9675999999999</v>
      </c>
    </row>
    <row r="74" spans="1:8" s="22" customFormat="1" ht="24" customHeight="1">
      <c r="A74" s="1">
        <v>68</v>
      </c>
      <c r="B74" s="96" t="s">
        <v>82</v>
      </c>
      <c r="C74" s="176" t="s">
        <v>217</v>
      </c>
      <c r="D74" s="667">
        <v>3277.9675999999999</v>
      </c>
      <c r="E74" s="661" t="s">
        <v>82</v>
      </c>
      <c r="F74" s="32"/>
    </row>
    <row r="75" spans="1:8" s="22" customFormat="1" ht="24" customHeight="1">
      <c r="A75" s="1">
        <v>69</v>
      </c>
      <c r="B75" s="96" t="s">
        <v>83</v>
      </c>
      <c r="C75" s="176" t="s">
        <v>209</v>
      </c>
      <c r="D75" s="667">
        <v>4546.16</v>
      </c>
      <c r="E75" s="661" t="s">
        <v>83</v>
      </c>
      <c r="F75" s="32"/>
    </row>
    <row r="76" spans="1:8" s="22" customFormat="1" ht="24" customHeight="1">
      <c r="A76" s="1">
        <v>70</v>
      </c>
      <c r="B76" s="96" t="s">
        <v>84</v>
      </c>
      <c r="C76" s="176" t="s">
        <v>208</v>
      </c>
      <c r="D76" s="668">
        <v>7422.7712000000001</v>
      </c>
      <c r="E76" s="661" t="s">
        <v>84</v>
      </c>
      <c r="F76" s="32"/>
    </row>
    <row r="77" spans="1:8" ht="24" customHeight="1">
      <c r="A77" s="1">
        <v>71</v>
      </c>
      <c r="B77" s="3" t="s">
        <v>86</v>
      </c>
      <c r="C77" s="176" t="s">
        <v>289</v>
      </c>
      <c r="D77" s="668">
        <v>4588</v>
      </c>
      <c r="E77" s="460" t="s">
        <v>86</v>
      </c>
      <c r="F77" s="29"/>
    </row>
    <row r="78" spans="1:8" s="128" customFormat="1" ht="24" customHeight="1" thickBot="1">
      <c r="A78" s="1">
        <v>72</v>
      </c>
      <c r="B78" s="98" t="s">
        <v>87</v>
      </c>
      <c r="C78" s="177" t="s">
        <v>254</v>
      </c>
      <c r="D78" s="669">
        <v>6437.333333333333</v>
      </c>
      <c r="E78" s="662" t="s">
        <v>87</v>
      </c>
      <c r="F78" s="104"/>
    </row>
    <row r="79" spans="1:8" s="22" customFormat="1" ht="24" customHeight="1" thickTop="1">
      <c r="A79" s="1">
        <v>73</v>
      </c>
      <c r="B79" s="3" t="s">
        <v>88</v>
      </c>
      <c r="C79" s="176" t="s">
        <v>298</v>
      </c>
      <c r="D79" s="670">
        <v>3785</v>
      </c>
      <c r="E79" s="663" t="s">
        <v>88</v>
      </c>
      <c r="F79" s="32"/>
    </row>
    <row r="80" spans="1:8" s="22" customFormat="1" ht="24" customHeight="1">
      <c r="A80" s="1">
        <v>74</v>
      </c>
      <c r="B80" s="3" t="s">
        <v>454</v>
      </c>
      <c r="C80" s="176" t="s">
        <v>456</v>
      </c>
      <c r="D80" s="667">
        <v>4677</v>
      </c>
      <c r="E80" s="460" t="s">
        <v>454</v>
      </c>
      <c r="F80" s="32"/>
    </row>
    <row r="81" spans="1:6" ht="24" customHeight="1">
      <c r="A81" s="1">
        <v>75</v>
      </c>
      <c r="B81" s="129" t="s">
        <v>92</v>
      </c>
      <c r="C81" s="176" t="s">
        <v>229</v>
      </c>
      <c r="D81" s="667">
        <v>5008.96</v>
      </c>
      <c r="E81" s="371" t="s">
        <v>92</v>
      </c>
      <c r="F81" s="29"/>
    </row>
    <row r="82" spans="1:6" ht="24" customHeight="1">
      <c r="A82" s="1">
        <v>76</v>
      </c>
      <c r="B82" s="129" t="s">
        <v>94</v>
      </c>
      <c r="C82" s="176" t="s">
        <v>290</v>
      </c>
      <c r="D82" s="667">
        <v>5429.3058000000001</v>
      </c>
      <c r="E82" s="371" t="s">
        <v>94</v>
      </c>
      <c r="F82" s="29"/>
    </row>
    <row r="83" spans="1:6" ht="24" customHeight="1">
      <c r="A83" s="1">
        <v>77</v>
      </c>
      <c r="B83" s="129" t="s">
        <v>95</v>
      </c>
      <c r="C83" s="176" t="s">
        <v>316</v>
      </c>
      <c r="D83" s="667">
        <v>4130.8766999999998</v>
      </c>
      <c r="E83" s="371" t="s">
        <v>95</v>
      </c>
      <c r="F83" s="29"/>
    </row>
    <row r="84" spans="1:6" ht="24" customHeight="1">
      <c r="A84" s="1">
        <v>78</v>
      </c>
      <c r="B84" s="129" t="s">
        <v>96</v>
      </c>
      <c r="C84" s="176" t="s">
        <v>221</v>
      </c>
      <c r="D84" s="667">
        <v>4108.3984</v>
      </c>
      <c r="E84" s="316" t="s">
        <v>96</v>
      </c>
      <c r="F84" s="29"/>
    </row>
    <row r="85" spans="1:6" s="22" customFormat="1" ht="24" customHeight="1">
      <c r="A85" s="1">
        <v>79</v>
      </c>
      <c r="B85" s="129" t="s">
        <v>97</v>
      </c>
      <c r="C85" s="176" t="s">
        <v>317</v>
      </c>
      <c r="D85" s="667">
        <v>6096.5</v>
      </c>
      <c r="E85" s="371" t="s">
        <v>97</v>
      </c>
    </row>
    <row r="86" spans="1:6" ht="24" customHeight="1">
      <c r="A86" s="1">
        <v>80</v>
      </c>
      <c r="B86" s="129" t="s">
        <v>98</v>
      </c>
      <c r="C86" s="176" t="s">
        <v>378</v>
      </c>
      <c r="D86" s="667">
        <v>7012.8</v>
      </c>
      <c r="E86" s="371" t="s">
        <v>98</v>
      </c>
    </row>
    <row r="87" spans="1:6" ht="24" customHeight="1">
      <c r="A87" s="1">
        <v>81</v>
      </c>
      <c r="B87" s="129" t="s">
        <v>99</v>
      </c>
      <c r="C87" s="176" t="s">
        <v>379</v>
      </c>
      <c r="D87" s="667">
        <v>4130.8766999999998</v>
      </c>
      <c r="E87" s="371" t="s">
        <v>99</v>
      </c>
    </row>
    <row r="88" spans="1:6" ht="24" customHeight="1">
      <c r="A88" s="1">
        <v>82</v>
      </c>
      <c r="B88" s="147" t="s">
        <v>100</v>
      </c>
      <c r="C88" s="176" t="s">
        <v>226</v>
      </c>
      <c r="D88" s="667">
        <v>3847.12</v>
      </c>
      <c r="E88" s="672" t="s">
        <v>100</v>
      </c>
    </row>
    <row r="89" spans="1:6" ht="24" customHeight="1">
      <c r="A89" s="1">
        <v>83</v>
      </c>
      <c r="B89" s="147" t="s">
        <v>101</v>
      </c>
      <c r="C89" s="176" t="s">
        <v>225</v>
      </c>
      <c r="D89" s="667">
        <v>6783.6604000000007</v>
      </c>
      <c r="E89" s="672" t="s">
        <v>101</v>
      </c>
    </row>
    <row r="90" spans="1:6" ht="24" customHeight="1">
      <c r="A90" s="1">
        <v>84</v>
      </c>
      <c r="B90" s="147" t="s">
        <v>102</v>
      </c>
      <c r="C90" s="176" t="s">
        <v>227</v>
      </c>
      <c r="D90" s="671">
        <v>7035.2026999999998</v>
      </c>
      <c r="E90" s="672" t="s">
        <v>102</v>
      </c>
    </row>
    <row r="91" spans="1:6" ht="24" customHeight="1">
      <c r="A91" s="1">
        <v>85</v>
      </c>
      <c r="B91" s="147" t="s">
        <v>103</v>
      </c>
      <c r="C91" s="176" t="s">
        <v>291</v>
      </c>
      <c r="D91" s="667">
        <v>6751.0544</v>
      </c>
      <c r="E91" s="672" t="s">
        <v>103</v>
      </c>
    </row>
    <row r="92" spans="1:6" ht="24" customHeight="1">
      <c r="A92" s="1">
        <v>86</v>
      </c>
      <c r="B92" s="147" t="s">
        <v>377</v>
      </c>
      <c r="C92" s="176" t="s">
        <v>384</v>
      </c>
      <c r="D92" s="667">
        <v>2672</v>
      </c>
      <c r="E92" s="672" t="s">
        <v>377</v>
      </c>
    </row>
    <row r="93" spans="1:6" ht="24" customHeight="1">
      <c r="A93" s="1">
        <v>87</v>
      </c>
      <c r="B93" s="147" t="s">
        <v>104</v>
      </c>
      <c r="C93" s="176" t="s">
        <v>282</v>
      </c>
      <c r="D93" s="667">
        <v>4415</v>
      </c>
      <c r="E93" s="672" t="s">
        <v>104</v>
      </c>
    </row>
    <row r="94" spans="1:6" ht="24" customHeight="1">
      <c r="A94" s="1">
        <v>88</v>
      </c>
      <c r="B94" s="147" t="s">
        <v>106</v>
      </c>
      <c r="C94" s="176" t="s">
        <v>319</v>
      </c>
      <c r="D94" s="667">
        <v>3685</v>
      </c>
      <c r="E94" s="672" t="s">
        <v>106</v>
      </c>
    </row>
    <row r="95" spans="1:6" s="22" customFormat="1" ht="24" customHeight="1">
      <c r="A95" s="1">
        <v>89</v>
      </c>
      <c r="B95" s="147" t="s">
        <v>354</v>
      </c>
      <c r="C95" s="176" t="s">
        <v>257</v>
      </c>
      <c r="D95" s="667">
        <v>3925.0605000000005</v>
      </c>
      <c r="E95" s="672" t="s">
        <v>354</v>
      </c>
    </row>
    <row r="96" spans="1:6" ht="24" customHeight="1">
      <c r="A96" s="1">
        <v>90</v>
      </c>
      <c r="B96" s="129" t="s">
        <v>108</v>
      </c>
      <c r="C96" s="176" t="s">
        <v>318</v>
      </c>
      <c r="D96" s="667">
        <v>3685</v>
      </c>
      <c r="E96" s="371" t="s">
        <v>108</v>
      </c>
    </row>
    <row r="97" spans="1:5" ht="24" customHeight="1">
      <c r="A97" s="1">
        <v>91</v>
      </c>
      <c r="B97" s="129" t="s">
        <v>109</v>
      </c>
      <c r="C97" s="176" t="s">
        <v>296</v>
      </c>
      <c r="D97" s="669">
        <v>4000</v>
      </c>
      <c r="E97" s="371" t="s">
        <v>109</v>
      </c>
    </row>
    <row r="98" spans="1:5" ht="24" customHeight="1">
      <c r="A98" s="1">
        <v>92</v>
      </c>
      <c r="B98" s="153" t="s">
        <v>110</v>
      </c>
      <c r="C98" s="176" t="s">
        <v>219</v>
      </c>
      <c r="D98" s="669">
        <v>3685</v>
      </c>
      <c r="E98" s="673" t="s">
        <v>110</v>
      </c>
    </row>
    <row r="99" spans="1:5" ht="24" customHeight="1">
      <c r="A99" s="1">
        <v>93</v>
      </c>
      <c r="B99" s="154" t="s">
        <v>112</v>
      </c>
      <c r="C99" s="176" t="s">
        <v>320</v>
      </c>
      <c r="D99" s="669">
        <v>3685</v>
      </c>
      <c r="E99" s="674" t="s">
        <v>112</v>
      </c>
    </row>
    <row r="100" spans="1:5" s="16" customFormat="1" ht="24" customHeight="1">
      <c r="A100" s="1">
        <v>94</v>
      </c>
      <c r="B100" s="131" t="s">
        <v>113</v>
      </c>
      <c r="C100" s="176" t="s">
        <v>220</v>
      </c>
      <c r="D100" s="671">
        <v>4597.5</v>
      </c>
      <c r="E100" s="675" t="s">
        <v>113</v>
      </c>
    </row>
    <row r="101" spans="1:5" ht="24" customHeight="1">
      <c r="A101" s="1">
        <v>95</v>
      </c>
      <c r="B101" s="131" t="s">
        <v>114</v>
      </c>
      <c r="C101" s="176" t="s">
        <v>380</v>
      </c>
      <c r="D101" s="667">
        <v>4281.3999999999996</v>
      </c>
      <c r="E101" s="675" t="s">
        <v>114</v>
      </c>
    </row>
    <row r="102" spans="1:5" s="22" customFormat="1" ht="24" customHeight="1">
      <c r="A102" s="1">
        <v>96</v>
      </c>
      <c r="B102" s="131" t="s">
        <v>116</v>
      </c>
      <c r="C102" s="176" t="s">
        <v>216</v>
      </c>
      <c r="D102" s="667">
        <v>7569.8</v>
      </c>
      <c r="E102" s="675" t="s">
        <v>116</v>
      </c>
    </row>
    <row r="103" spans="1:5" ht="24" customHeight="1">
      <c r="A103" s="1">
        <v>97</v>
      </c>
      <c r="B103" s="131" t="s">
        <v>119</v>
      </c>
      <c r="C103" s="176" t="s">
        <v>277</v>
      </c>
      <c r="D103" s="667">
        <v>3685</v>
      </c>
      <c r="E103" s="675" t="s">
        <v>119</v>
      </c>
    </row>
    <row r="104" spans="1:5" ht="24" customHeight="1">
      <c r="A104" s="1">
        <v>98</v>
      </c>
      <c r="B104" s="131" t="s">
        <v>120</v>
      </c>
      <c r="C104" s="176" t="s">
        <v>419</v>
      </c>
      <c r="D104" s="667">
        <v>3675.5</v>
      </c>
      <c r="E104" s="675" t="s">
        <v>120</v>
      </c>
    </row>
    <row r="105" spans="1:5" ht="24" customHeight="1">
      <c r="A105" s="1">
        <v>99</v>
      </c>
      <c r="B105" s="131" t="s">
        <v>121</v>
      </c>
      <c r="C105" s="176" t="s">
        <v>331</v>
      </c>
      <c r="D105" s="667">
        <v>3785</v>
      </c>
      <c r="E105" s="675" t="s">
        <v>121</v>
      </c>
    </row>
    <row r="106" spans="1:5" ht="24.75" customHeight="1">
      <c r="A106" s="1">
        <v>100</v>
      </c>
      <c r="B106" s="131" t="s">
        <v>122</v>
      </c>
      <c r="C106" s="176" t="s">
        <v>332</v>
      </c>
      <c r="D106" s="667">
        <v>4880</v>
      </c>
      <c r="E106" s="675" t="s">
        <v>122</v>
      </c>
    </row>
    <row r="107" spans="1:5" s="16" customFormat="1" ht="24" customHeight="1">
      <c r="A107" s="1">
        <v>101</v>
      </c>
      <c r="B107" s="131" t="s">
        <v>123</v>
      </c>
      <c r="C107" s="176" t="s">
        <v>423</v>
      </c>
      <c r="D107" s="671">
        <v>3785</v>
      </c>
      <c r="E107" s="675" t="s">
        <v>123</v>
      </c>
    </row>
    <row r="108" spans="1:5" s="116" customFormat="1" ht="24" customHeight="1">
      <c r="A108" s="1">
        <v>102</v>
      </c>
      <c r="B108" s="131" t="s">
        <v>124</v>
      </c>
      <c r="C108" s="176" t="s">
        <v>256</v>
      </c>
      <c r="D108" s="667">
        <v>4415</v>
      </c>
      <c r="E108" s="345" t="s">
        <v>124</v>
      </c>
    </row>
    <row r="109" spans="1:5" ht="24" customHeight="1">
      <c r="A109" s="1">
        <v>103</v>
      </c>
      <c r="B109" s="129" t="s">
        <v>201</v>
      </c>
      <c r="C109" s="176" t="s">
        <v>300</v>
      </c>
      <c r="D109" s="667">
        <v>4415</v>
      </c>
      <c r="E109" s="371" t="s">
        <v>201</v>
      </c>
    </row>
    <row r="110" spans="1:5" ht="24" customHeight="1">
      <c r="A110" s="1">
        <v>104</v>
      </c>
      <c r="B110" s="131" t="s">
        <v>466</v>
      </c>
      <c r="C110" s="176" t="s">
        <v>476</v>
      </c>
      <c r="D110" s="667">
        <v>3452</v>
      </c>
      <c r="E110" s="675" t="s">
        <v>466</v>
      </c>
    </row>
    <row r="111" spans="1:5" ht="24" customHeight="1">
      <c r="A111" s="1">
        <v>105</v>
      </c>
      <c r="B111" s="171" t="s">
        <v>203</v>
      </c>
      <c r="C111" s="176" t="s">
        <v>381</v>
      </c>
      <c r="D111" s="667">
        <v>3452</v>
      </c>
      <c r="E111" s="675" t="s">
        <v>203</v>
      </c>
    </row>
    <row r="112" spans="1:5" s="22" customFormat="1" ht="24" customHeight="1">
      <c r="A112" s="1">
        <v>106</v>
      </c>
      <c r="B112" s="172" t="s">
        <v>349</v>
      </c>
      <c r="C112" s="176" t="s">
        <v>284</v>
      </c>
      <c r="D112" s="667">
        <v>14350</v>
      </c>
      <c r="E112" s="675" t="s">
        <v>349</v>
      </c>
    </row>
    <row r="113" spans="1:5" s="79" customFormat="1" ht="24" customHeight="1">
      <c r="A113" s="1">
        <v>107</v>
      </c>
      <c r="B113" s="275" t="s">
        <v>350</v>
      </c>
      <c r="C113" s="227" t="s">
        <v>357</v>
      </c>
      <c r="D113" s="671">
        <v>3452</v>
      </c>
      <c r="E113" s="676" t="s">
        <v>350</v>
      </c>
    </row>
    <row r="114" spans="1:5" s="79" customFormat="1" ht="24" customHeight="1">
      <c r="A114" s="1">
        <v>108</v>
      </c>
      <c r="B114" s="251" t="s">
        <v>361</v>
      </c>
      <c r="C114" s="227" t="s">
        <v>441</v>
      </c>
      <c r="D114" s="671">
        <v>3062</v>
      </c>
      <c r="E114" s="676" t="s">
        <v>361</v>
      </c>
    </row>
    <row r="115" spans="1:5" s="79" customFormat="1" ht="24" customHeight="1">
      <c r="A115" s="1">
        <v>109</v>
      </c>
      <c r="B115" s="251" t="s">
        <v>363</v>
      </c>
      <c r="C115" s="227" t="s">
        <v>371</v>
      </c>
      <c r="D115" s="671">
        <v>3452</v>
      </c>
      <c r="E115" s="676" t="s">
        <v>363</v>
      </c>
    </row>
    <row r="116" spans="1:5" s="79" customFormat="1" ht="24" customHeight="1">
      <c r="A116" s="1">
        <v>110</v>
      </c>
      <c r="B116" s="251" t="s">
        <v>446</v>
      </c>
      <c r="C116" s="227" t="s">
        <v>464</v>
      </c>
      <c r="D116" s="671">
        <v>2672</v>
      </c>
      <c r="E116" s="677" t="s">
        <v>446</v>
      </c>
    </row>
    <row r="117" spans="1:5" s="79" customFormat="1" ht="24" customHeight="1">
      <c r="A117" s="1">
        <v>111</v>
      </c>
      <c r="B117" s="251" t="s">
        <v>447</v>
      </c>
      <c r="C117" s="227" t="s">
        <v>465</v>
      </c>
      <c r="D117" s="671">
        <v>2672</v>
      </c>
      <c r="E117" s="677" t="s">
        <v>447</v>
      </c>
    </row>
    <row r="118" spans="1:5" s="79" customFormat="1" ht="24" customHeight="1">
      <c r="A118" s="1">
        <v>112</v>
      </c>
      <c r="B118" s="251" t="s">
        <v>449</v>
      </c>
      <c r="C118" s="227" t="s">
        <v>462</v>
      </c>
      <c r="D118" s="671">
        <v>3452</v>
      </c>
      <c r="E118" s="677" t="s">
        <v>449</v>
      </c>
    </row>
    <row r="119" spans="1:5" s="79" customFormat="1" ht="24" customHeight="1">
      <c r="A119" s="1">
        <v>113</v>
      </c>
      <c r="B119" s="251" t="s">
        <v>451</v>
      </c>
      <c r="C119" s="227" t="s">
        <v>458</v>
      </c>
      <c r="D119" s="671">
        <v>8190</v>
      </c>
      <c r="E119" s="677" t="s">
        <v>451</v>
      </c>
    </row>
    <row r="120" spans="1:5" s="22" customFormat="1" ht="24" customHeight="1">
      <c r="A120" s="1">
        <v>114</v>
      </c>
      <c r="B120" s="129" t="s">
        <v>126</v>
      </c>
      <c r="C120" s="176" t="s">
        <v>278</v>
      </c>
      <c r="D120" s="667">
        <v>4557.8217999999997</v>
      </c>
      <c r="E120" s="678" t="s">
        <v>126</v>
      </c>
    </row>
    <row r="121" spans="1:5" s="116" customFormat="1" ht="20.25" customHeight="1">
      <c r="A121" s="1">
        <v>115</v>
      </c>
      <c r="B121" s="129" t="s">
        <v>127</v>
      </c>
      <c r="C121" s="176" t="s">
        <v>293</v>
      </c>
      <c r="D121" s="667">
        <v>5218.5375000000004</v>
      </c>
      <c r="E121" s="334" t="s">
        <v>127</v>
      </c>
    </row>
    <row r="122" spans="1:5" ht="24" customHeight="1">
      <c r="A122" s="1">
        <v>116</v>
      </c>
      <c r="B122" s="129" t="s">
        <v>129</v>
      </c>
      <c r="C122" s="176" t="s">
        <v>333</v>
      </c>
      <c r="D122" s="667">
        <v>7196.9295999999995</v>
      </c>
      <c r="E122" s="334" t="s">
        <v>129</v>
      </c>
    </row>
    <row r="123" spans="1:5" ht="20.25" customHeight="1">
      <c r="A123" s="1">
        <v>117</v>
      </c>
      <c r="B123" s="129" t="s">
        <v>131</v>
      </c>
      <c r="C123" s="176" t="s">
        <v>334</v>
      </c>
      <c r="D123" s="667">
        <v>6037.4344000000001</v>
      </c>
      <c r="E123" s="334" t="s">
        <v>131</v>
      </c>
    </row>
    <row r="124" spans="1:5" ht="24.75" customHeight="1">
      <c r="A124" s="1">
        <v>118</v>
      </c>
      <c r="B124" s="129" t="s">
        <v>132</v>
      </c>
      <c r="C124" s="176" t="s">
        <v>294</v>
      </c>
      <c r="D124" s="667">
        <v>5275.8206</v>
      </c>
      <c r="E124" s="334" t="s">
        <v>132</v>
      </c>
    </row>
    <row r="125" spans="1:5" s="16" customFormat="1" ht="21" customHeight="1">
      <c r="A125" s="1">
        <v>119</v>
      </c>
      <c r="B125" s="129" t="s">
        <v>134</v>
      </c>
      <c r="C125" s="176" t="s">
        <v>335</v>
      </c>
      <c r="D125" s="671">
        <v>2897.5</v>
      </c>
      <c r="E125" s="334" t="s">
        <v>134</v>
      </c>
    </row>
    <row r="126" spans="1:5" s="22" customFormat="1" ht="19.5" customHeight="1">
      <c r="A126" s="1">
        <v>120</v>
      </c>
      <c r="B126" s="129" t="s">
        <v>135</v>
      </c>
      <c r="C126" s="176" t="s">
        <v>211</v>
      </c>
      <c r="D126" s="667">
        <v>6288.0212000000001</v>
      </c>
      <c r="E126" s="334" t="s">
        <v>135</v>
      </c>
    </row>
    <row r="127" spans="1:5" s="22" customFormat="1" ht="20.25" customHeight="1">
      <c r="A127" s="1">
        <v>121</v>
      </c>
      <c r="B127" s="129" t="s">
        <v>136</v>
      </c>
      <c r="C127" s="176" t="s">
        <v>207</v>
      </c>
      <c r="D127" s="667">
        <v>4077.6819999999998</v>
      </c>
      <c r="E127" s="334" t="s">
        <v>136</v>
      </c>
    </row>
    <row r="128" spans="1:5" ht="17.25" customHeight="1">
      <c r="A128" s="1">
        <v>122</v>
      </c>
      <c r="B128" s="147" t="s">
        <v>137</v>
      </c>
      <c r="C128" s="176" t="s">
        <v>280</v>
      </c>
      <c r="D128" s="667">
        <v>3785</v>
      </c>
      <c r="E128" s="679" t="s">
        <v>137</v>
      </c>
    </row>
    <row r="129" spans="1:12" ht="18" customHeight="1">
      <c r="A129" s="1">
        <v>123</v>
      </c>
      <c r="B129" s="147" t="s">
        <v>138</v>
      </c>
      <c r="C129" s="176" t="s">
        <v>274</v>
      </c>
      <c r="D129" s="667">
        <v>4697.5</v>
      </c>
      <c r="E129" s="680" t="s">
        <v>138</v>
      </c>
    </row>
    <row r="130" spans="1:12" ht="20.25" customHeight="1">
      <c r="A130" s="1">
        <v>124</v>
      </c>
      <c r="B130" s="147" t="s">
        <v>139</v>
      </c>
      <c r="C130" s="176" t="s">
        <v>336</v>
      </c>
      <c r="D130" s="667">
        <v>4150</v>
      </c>
      <c r="E130" s="334" t="s">
        <v>139</v>
      </c>
    </row>
    <row r="131" spans="1:12" s="16" customFormat="1" ht="19.5" customHeight="1">
      <c r="A131" s="1">
        <v>125</v>
      </c>
      <c r="B131" s="147" t="s">
        <v>140</v>
      </c>
      <c r="C131" s="176" t="s">
        <v>382</v>
      </c>
      <c r="D131" s="671">
        <v>3785</v>
      </c>
      <c r="E131" s="681" t="s">
        <v>140</v>
      </c>
    </row>
    <row r="132" spans="1:12" ht="21" customHeight="1">
      <c r="A132" s="1">
        <v>126</v>
      </c>
      <c r="B132" s="147" t="s">
        <v>142</v>
      </c>
      <c r="C132" s="176" t="s">
        <v>337</v>
      </c>
      <c r="D132" s="667">
        <v>4557.5808999999999</v>
      </c>
      <c r="E132" s="679" t="s">
        <v>142</v>
      </c>
    </row>
    <row r="133" spans="1:12" ht="18.75" customHeight="1">
      <c r="A133" s="1">
        <v>127</v>
      </c>
      <c r="B133" s="147" t="s">
        <v>143</v>
      </c>
      <c r="C133" s="176" t="s">
        <v>422</v>
      </c>
      <c r="D133" s="667">
        <v>6120</v>
      </c>
      <c r="E133" s="679" t="s">
        <v>143</v>
      </c>
    </row>
    <row r="134" spans="1:12" ht="18" customHeight="1">
      <c r="A134" s="1">
        <v>128</v>
      </c>
      <c r="B134" s="147" t="s">
        <v>145</v>
      </c>
      <c r="C134" s="176" t="s">
        <v>356</v>
      </c>
      <c r="D134" s="667">
        <v>2785</v>
      </c>
      <c r="E134" s="679" t="s">
        <v>145</v>
      </c>
    </row>
    <row r="135" spans="1:12" s="22" customFormat="1" ht="21.75" customHeight="1">
      <c r="A135" s="1">
        <v>129</v>
      </c>
      <c r="B135" s="129" t="s">
        <v>146</v>
      </c>
      <c r="C135" s="176" t="s">
        <v>214</v>
      </c>
      <c r="D135" s="667">
        <v>3785</v>
      </c>
      <c r="E135" s="334" t="s">
        <v>146</v>
      </c>
    </row>
    <row r="136" spans="1:12" ht="17.25" customHeight="1">
      <c r="A136" s="1">
        <v>130</v>
      </c>
      <c r="B136" s="129" t="s">
        <v>147</v>
      </c>
      <c r="C136" s="176" t="s">
        <v>338</v>
      </c>
      <c r="D136" s="667">
        <v>4150</v>
      </c>
      <c r="E136" s="334" t="s">
        <v>147</v>
      </c>
    </row>
    <row r="137" spans="1:12" ht="17.25" customHeight="1">
      <c r="A137" s="1">
        <v>131</v>
      </c>
      <c r="B137" s="153" t="s">
        <v>148</v>
      </c>
      <c r="C137" s="176" t="s">
        <v>305</v>
      </c>
      <c r="D137" s="667">
        <v>4381.1617999999999</v>
      </c>
      <c r="E137" s="682" t="s">
        <v>148</v>
      </c>
    </row>
    <row r="138" spans="1:12" ht="24" customHeight="1">
      <c r="A138" s="1">
        <v>132</v>
      </c>
      <c r="B138" s="129" t="s">
        <v>149</v>
      </c>
      <c r="C138" s="176" t="s">
        <v>339</v>
      </c>
      <c r="D138" s="667">
        <v>5927.3287999999993</v>
      </c>
      <c r="E138" s="334" t="s">
        <v>149</v>
      </c>
    </row>
    <row r="139" spans="1:12" ht="24" customHeight="1">
      <c r="A139" s="1">
        <v>133</v>
      </c>
      <c r="B139" s="129" t="s">
        <v>187</v>
      </c>
      <c r="C139" s="176" t="s">
        <v>279</v>
      </c>
      <c r="D139" s="667">
        <v>4880</v>
      </c>
      <c r="E139" s="334" t="s">
        <v>187</v>
      </c>
    </row>
    <row r="140" spans="1:12" ht="24" customHeight="1">
      <c r="A140" s="1">
        <v>134</v>
      </c>
      <c r="B140" s="129" t="s">
        <v>151</v>
      </c>
      <c r="C140" s="176" t="s">
        <v>281</v>
      </c>
      <c r="D140" s="667">
        <v>5610</v>
      </c>
      <c r="E140" s="334" t="s">
        <v>151</v>
      </c>
    </row>
    <row r="141" spans="1:12" s="22" customFormat="1" ht="24" customHeight="1">
      <c r="A141" s="1">
        <v>135</v>
      </c>
      <c r="B141" s="154" t="s">
        <v>196</v>
      </c>
      <c r="C141" s="176" t="s">
        <v>418</v>
      </c>
      <c r="D141" s="667">
        <v>4880</v>
      </c>
      <c r="E141" s="683" t="s">
        <v>196</v>
      </c>
      <c r="G141" s="161"/>
    </row>
    <row r="142" spans="1:12" s="22" customFormat="1" ht="24" customHeight="1">
      <c r="A142" s="1">
        <v>136</v>
      </c>
      <c r="B142" s="173" t="s">
        <v>154</v>
      </c>
      <c r="C142" s="176" t="s">
        <v>417</v>
      </c>
      <c r="D142" s="667">
        <v>32686</v>
      </c>
      <c r="E142" s="678" t="s">
        <v>154</v>
      </c>
      <c r="L142" s="22">
        <v>151284.43550000002</v>
      </c>
    </row>
    <row r="143" spans="1:12" s="22" customFormat="1" ht="24" customHeight="1">
      <c r="A143" s="1">
        <v>137</v>
      </c>
      <c r="B143" s="160" t="s">
        <v>373</v>
      </c>
      <c r="C143" s="176" t="s">
        <v>375</v>
      </c>
      <c r="D143" s="667">
        <v>52290</v>
      </c>
      <c r="E143" s="684" t="s">
        <v>373</v>
      </c>
      <c r="L143" s="22">
        <v>28654.321499999998</v>
      </c>
    </row>
    <row r="144" spans="1:12" s="166" customFormat="1" ht="24" customHeight="1">
      <c r="A144" s="1">
        <v>138</v>
      </c>
      <c r="B144" s="173" t="s">
        <v>170</v>
      </c>
      <c r="C144" s="176" t="s">
        <v>228</v>
      </c>
      <c r="D144" s="667">
        <v>24508</v>
      </c>
      <c r="E144" s="684" t="s">
        <v>170</v>
      </c>
      <c r="L144" s="166">
        <v>25841.906000000003</v>
      </c>
    </row>
    <row r="145" spans="1:12" ht="24" customHeight="1">
      <c r="A145" s="1">
        <v>139</v>
      </c>
      <c r="B145" s="173" t="s">
        <v>155</v>
      </c>
      <c r="C145" s="176" t="s">
        <v>288</v>
      </c>
      <c r="D145" s="667">
        <v>23639.4</v>
      </c>
      <c r="E145" s="684" t="s">
        <v>155</v>
      </c>
      <c r="G145" s="25">
        <v>20925</v>
      </c>
      <c r="I145" s="5">
        <v>336652.73499999987</v>
      </c>
      <c r="L145" s="5">
        <v>18118.074199999999</v>
      </c>
    </row>
    <row r="146" spans="1:12" ht="24" customHeight="1">
      <c r="A146" s="1">
        <v>140</v>
      </c>
      <c r="B146" s="173" t="s">
        <v>268</v>
      </c>
      <c r="C146" s="176" t="s">
        <v>340</v>
      </c>
      <c r="D146" s="667">
        <v>12162</v>
      </c>
      <c r="E146" s="334" t="s">
        <v>268</v>
      </c>
      <c r="G146" s="25">
        <v>8400</v>
      </c>
      <c r="I146" s="5">
        <v>128342.7754</v>
      </c>
      <c r="L146" s="281">
        <v>84405.680499999988</v>
      </c>
    </row>
    <row r="147" spans="1:12" ht="24" customHeight="1">
      <c r="A147" s="1">
        <v>141</v>
      </c>
      <c r="B147" s="174" t="s">
        <v>156</v>
      </c>
      <c r="C147" s="176" t="s">
        <v>275</v>
      </c>
      <c r="D147" s="667">
        <v>8027.8724999999995</v>
      </c>
      <c r="E147" s="684" t="s">
        <v>156</v>
      </c>
      <c r="G147" s="25"/>
      <c r="L147" s="5">
        <f>SUM(L142:L146)</f>
        <v>308304.41769999999</v>
      </c>
    </row>
    <row r="148" spans="1:12" s="22" customFormat="1" ht="24" customHeight="1">
      <c r="A148" s="1">
        <v>142</v>
      </c>
      <c r="B148" s="174" t="s">
        <v>157</v>
      </c>
      <c r="C148" s="176" t="s">
        <v>322</v>
      </c>
      <c r="D148" s="667">
        <v>10390.040000000001</v>
      </c>
      <c r="E148" s="334" t="s">
        <v>157</v>
      </c>
      <c r="G148" s="112"/>
    </row>
    <row r="149" spans="1:12" ht="24" customHeight="1">
      <c r="A149" s="1">
        <v>143</v>
      </c>
      <c r="B149" s="174" t="s">
        <v>158</v>
      </c>
      <c r="C149" s="176" t="s">
        <v>303</v>
      </c>
      <c r="D149" s="667">
        <v>7712.2160000000003</v>
      </c>
      <c r="E149" s="334" t="s">
        <v>158</v>
      </c>
      <c r="G149" s="25"/>
    </row>
    <row r="150" spans="1:12" ht="24" customHeight="1">
      <c r="A150" s="1">
        <v>144</v>
      </c>
      <c r="B150" s="174" t="s">
        <v>159</v>
      </c>
      <c r="C150" s="176" t="s">
        <v>260</v>
      </c>
      <c r="D150" s="667">
        <v>9354.9974999999995</v>
      </c>
      <c r="E150" s="334" t="s">
        <v>159</v>
      </c>
      <c r="G150" s="25"/>
    </row>
    <row r="151" spans="1:12" ht="24" customHeight="1">
      <c r="A151" s="1">
        <v>145</v>
      </c>
      <c r="B151" s="174" t="s">
        <v>174</v>
      </c>
      <c r="C151" s="176" t="s">
        <v>287</v>
      </c>
      <c r="D151" s="667">
        <v>13403.572</v>
      </c>
      <c r="E151" s="334" t="s">
        <v>174</v>
      </c>
      <c r="G151" s="25"/>
    </row>
    <row r="152" spans="1:12" ht="24" customHeight="1">
      <c r="A152" s="1">
        <v>146</v>
      </c>
      <c r="B152" s="167" t="s">
        <v>160</v>
      </c>
      <c r="C152" s="176" t="s">
        <v>341</v>
      </c>
      <c r="D152" s="667">
        <v>9856.4172999999992</v>
      </c>
      <c r="E152" s="679" t="s">
        <v>160</v>
      </c>
      <c r="G152" s="25"/>
    </row>
    <row r="153" spans="1:12" ht="24" customHeight="1">
      <c r="A153" s="1">
        <v>147</v>
      </c>
      <c r="B153" s="465" t="s">
        <v>183</v>
      </c>
      <c r="C153" s="176" t="s">
        <v>304</v>
      </c>
      <c r="D153" s="667">
        <v>11984</v>
      </c>
      <c r="E153" s="685" t="s">
        <v>183</v>
      </c>
      <c r="G153" s="25"/>
    </row>
    <row r="154" spans="1:12" ht="24" customHeight="1">
      <c r="A154" s="1">
        <v>148</v>
      </c>
      <c r="B154" s="98" t="s">
        <v>118</v>
      </c>
      <c r="C154" s="176" t="s">
        <v>297</v>
      </c>
      <c r="D154" s="667">
        <v>10444</v>
      </c>
      <c r="E154" s="686" t="s">
        <v>118</v>
      </c>
      <c r="G154" s="25"/>
    </row>
    <row r="155" spans="1:12" ht="24" customHeight="1">
      <c r="A155" s="1">
        <v>149</v>
      </c>
      <c r="B155" s="3" t="s">
        <v>115</v>
      </c>
      <c r="C155" s="176" t="s">
        <v>233</v>
      </c>
      <c r="D155" s="667">
        <v>9125</v>
      </c>
      <c r="E155" s="684" t="s">
        <v>115</v>
      </c>
      <c r="G155" s="25"/>
      <c r="I155" s="355"/>
    </row>
    <row r="156" spans="1:12" ht="24" customHeight="1">
      <c r="A156" s="1">
        <v>150</v>
      </c>
      <c r="B156" s="3" t="s">
        <v>359</v>
      </c>
      <c r="C156" s="176" t="s">
        <v>368</v>
      </c>
      <c r="D156" s="667">
        <v>25250</v>
      </c>
      <c r="E156" s="684" t="s">
        <v>359</v>
      </c>
      <c r="G156" s="25"/>
    </row>
    <row r="157" spans="1:12" ht="24" customHeight="1">
      <c r="A157" s="1">
        <v>151</v>
      </c>
      <c r="B157" s="160" t="s">
        <v>460</v>
      </c>
      <c r="C157" s="176" t="s">
        <v>463</v>
      </c>
      <c r="D157" s="667">
        <v>22150</v>
      </c>
      <c r="E157" s="684" t="s">
        <v>460</v>
      </c>
      <c r="G157" s="25"/>
    </row>
    <row r="158" spans="1:12" ht="24" customHeight="1">
      <c r="A158" s="1">
        <v>152</v>
      </c>
      <c r="B158" s="3" t="s">
        <v>437</v>
      </c>
      <c r="C158" s="176" t="s">
        <v>438</v>
      </c>
      <c r="D158" s="667">
        <v>8810</v>
      </c>
      <c r="E158" s="684" t="s">
        <v>437</v>
      </c>
      <c r="G158" s="25"/>
    </row>
    <row r="159" spans="1:12" ht="24" customHeight="1">
      <c r="A159" s="1">
        <v>153</v>
      </c>
      <c r="B159" s="3" t="s">
        <v>165</v>
      </c>
      <c r="C159" s="176" t="s">
        <v>376</v>
      </c>
      <c r="D159" s="322">
        <v>33950</v>
      </c>
      <c r="E159" s="687" t="s">
        <v>165</v>
      </c>
      <c r="G159" s="25"/>
    </row>
    <row r="160" spans="1:12" ht="24" customHeight="1">
      <c r="A160" s="1">
        <v>154</v>
      </c>
      <c r="B160" s="3" t="s">
        <v>467</v>
      </c>
      <c r="C160" s="176" t="s">
        <v>468</v>
      </c>
      <c r="D160" s="322">
        <v>14550</v>
      </c>
      <c r="E160" s="687" t="s">
        <v>467</v>
      </c>
      <c r="G160" s="25"/>
    </row>
    <row r="161" spans="1:13" ht="24" customHeight="1">
      <c r="A161" s="1">
        <v>155</v>
      </c>
      <c r="B161" s="3" t="s">
        <v>477</v>
      </c>
      <c r="C161" s="176" t="s">
        <v>233</v>
      </c>
      <c r="D161" s="322">
        <v>45722</v>
      </c>
      <c r="E161" s="132" t="s">
        <v>477</v>
      </c>
      <c r="G161" s="25"/>
    </row>
    <row r="162" spans="1:13" ht="24" customHeight="1">
      <c r="A162" s="1">
        <v>156</v>
      </c>
      <c r="B162" s="26" t="s">
        <v>478</v>
      </c>
      <c r="C162" s="176" t="s">
        <v>353</v>
      </c>
      <c r="D162" s="322">
        <v>33090</v>
      </c>
      <c r="E162" s="26" t="s">
        <v>478</v>
      </c>
      <c r="G162" s="25"/>
      <c r="H162" s="5">
        <v>173143.535</v>
      </c>
    </row>
    <row r="163" spans="1:13" ht="24" customHeight="1">
      <c r="A163" s="1">
        <v>157</v>
      </c>
      <c r="B163" s="229" t="s">
        <v>479</v>
      </c>
      <c r="C163" s="207" t="s">
        <v>295</v>
      </c>
      <c r="D163" s="323">
        <v>9900</v>
      </c>
      <c r="E163" s="26" t="s">
        <v>479</v>
      </c>
      <c r="G163" s="208"/>
      <c r="H163" s="5">
        <v>518138.27770833339</v>
      </c>
    </row>
    <row r="164" spans="1:13" s="12" customFormat="1" ht="24" customHeight="1">
      <c r="A164" s="1"/>
      <c r="B164" s="113" t="s">
        <v>6</v>
      </c>
      <c r="C164" s="227"/>
      <c r="D164" s="26">
        <f>SUM(D7:D163)</f>
        <v>1321021.4597600005</v>
      </c>
      <c r="E164" s="228"/>
      <c r="G164" s="25"/>
      <c r="H164" s="12">
        <v>138363.63943500002</v>
      </c>
    </row>
    <row r="165" spans="1:13" ht="24" customHeight="1">
      <c r="A165" s="45" t="s">
        <v>182</v>
      </c>
      <c r="B165" s="45"/>
      <c r="C165" s="45"/>
      <c r="D165" s="45"/>
      <c r="E165" s="224"/>
      <c r="F165" s="225"/>
      <c r="G165" s="226"/>
      <c r="H165" s="469">
        <v>173143.535</v>
      </c>
      <c r="I165" s="226"/>
      <c r="J165" s="226"/>
      <c r="K165" s="42"/>
      <c r="L165" s="42"/>
      <c r="M165" s="42"/>
    </row>
    <row r="166" spans="1:13" ht="24" customHeight="1" thickBot="1">
      <c r="A166" s="223" t="s">
        <v>5</v>
      </c>
      <c r="B166" s="223"/>
      <c r="C166" s="223"/>
      <c r="D166" s="223"/>
      <c r="E166" s="210"/>
      <c r="F166" s="210"/>
      <c r="G166" s="210"/>
      <c r="H166" s="470">
        <v>46075</v>
      </c>
      <c r="I166" s="210"/>
      <c r="J166" s="210"/>
      <c r="K166" s="44"/>
      <c r="L166" s="44"/>
      <c r="M166" s="111"/>
    </row>
    <row r="167" spans="1:13" ht="24" customHeight="1">
      <c r="A167" s="219"/>
      <c r="B167" s="219"/>
      <c r="C167" s="219"/>
      <c r="D167" s="219"/>
      <c r="E167" s="216"/>
      <c r="F167" s="212"/>
      <c r="G167" s="325"/>
      <c r="H167" s="471">
        <v>292038.51780000003</v>
      </c>
      <c r="I167" s="212"/>
      <c r="J167" s="212"/>
      <c r="K167" s="47"/>
      <c r="L167" s="47"/>
      <c r="M167" s="47"/>
    </row>
    <row r="168" spans="1:13" ht="24" customHeight="1">
      <c r="A168" s="48"/>
      <c r="B168" s="48"/>
      <c r="C168" s="48"/>
      <c r="D168" s="48"/>
      <c r="E168" s="217"/>
      <c r="F168" s="213"/>
      <c r="G168" s="213"/>
      <c r="H168" s="214">
        <v>27000</v>
      </c>
      <c r="I168" s="214"/>
      <c r="J168" s="214"/>
      <c r="K168" s="65"/>
      <c r="L168" s="65"/>
      <c r="M168" s="65"/>
    </row>
    <row r="169" spans="1:13" ht="24" customHeight="1">
      <c r="A169" s="45"/>
      <c r="B169" s="44" t="s">
        <v>181</v>
      </c>
      <c r="C169" s="220"/>
      <c r="D169" s="220"/>
      <c r="E169" s="218">
        <v>61662</v>
      </c>
      <c r="F169" s="211"/>
      <c r="G169" s="211"/>
      <c r="H169" s="12">
        <v>27750</v>
      </c>
      <c r="I169" s="12"/>
      <c r="J169" s="12"/>
    </row>
    <row r="170" spans="1:13" ht="24" customHeight="1">
      <c r="A170" s="45"/>
      <c r="B170" s="222" t="s">
        <v>198</v>
      </c>
      <c r="C170" s="222" t="s">
        <v>360</v>
      </c>
      <c r="D170" s="45"/>
      <c r="E170" s="318">
        <v>11865</v>
      </c>
      <c r="F170" s="210"/>
      <c r="G170" s="326"/>
      <c r="H170" s="12">
        <v>9900</v>
      </c>
      <c r="I170" s="12"/>
      <c r="J170" s="12"/>
    </row>
    <row r="171" spans="1:13" ht="15.5">
      <c r="A171" s="219"/>
      <c r="B171" s="219"/>
      <c r="C171" s="219"/>
      <c r="D171" s="219"/>
      <c r="E171" s="319">
        <v>12778</v>
      </c>
      <c r="F171" s="212"/>
      <c r="G171" s="325"/>
      <c r="H171" s="12"/>
      <c r="I171" s="12"/>
      <c r="J171" s="12"/>
    </row>
    <row r="172" spans="1:13" ht="15.5">
      <c r="A172" s="108"/>
      <c r="B172" s="108"/>
      <c r="C172" s="109" t="s">
        <v>198</v>
      </c>
      <c r="D172" s="221"/>
      <c r="E172" s="324">
        <v>9129</v>
      </c>
      <c r="F172" s="215"/>
      <c r="G172" s="12"/>
      <c r="H172" s="12"/>
      <c r="I172" s="12"/>
      <c r="J172" s="12"/>
    </row>
    <row r="173" spans="1:13" ht="15.5">
      <c r="A173" s="103"/>
      <c r="B173" s="108"/>
      <c r="C173" s="28"/>
      <c r="E173" s="99">
        <v>18249</v>
      </c>
      <c r="F173" s="199"/>
    </row>
    <row r="174" spans="1:13">
      <c r="A174" s="6"/>
      <c r="B174" s="29"/>
      <c r="E174" s="221">
        <f>SUM(E169:E173)</f>
        <v>113683</v>
      </c>
      <c r="F174" s="24"/>
    </row>
    <row r="175" spans="1:13" ht="15" thickBot="1">
      <c r="A175" s="6"/>
      <c r="B175" s="29"/>
      <c r="E175" s="221"/>
      <c r="F175" s="24"/>
      <c r="I175" s="264"/>
    </row>
    <row r="176" spans="1:13" ht="15" thickTop="1">
      <c r="A176" s="6"/>
      <c r="B176" s="29"/>
      <c r="E176" s="24"/>
    </row>
    <row r="177" spans="1:17">
      <c r="A177" s="6"/>
      <c r="B177" s="29"/>
      <c r="E177" s="266"/>
    </row>
    <row r="178" spans="1:17">
      <c r="A178" s="6"/>
      <c r="B178" s="32"/>
      <c r="E178" s="24"/>
      <c r="G178" s="265"/>
    </row>
    <row r="179" spans="1:17">
      <c r="A179" s="6"/>
      <c r="B179" s="7"/>
      <c r="D179" s="7"/>
      <c r="E179" s="348" t="s">
        <v>439</v>
      </c>
    </row>
    <row r="180" spans="1:17">
      <c r="A180" s="6"/>
      <c r="B180" s="7"/>
      <c r="E180" s="5">
        <v>476239.01</v>
      </c>
      <c r="G180" s="5">
        <v>767367.28</v>
      </c>
    </row>
    <row r="181" spans="1:17">
      <c r="A181" s="6"/>
      <c r="B181" s="9"/>
      <c r="D181" s="33"/>
      <c r="E181" s="350" t="s">
        <v>440</v>
      </c>
      <c r="G181" s="5">
        <v>183584.73</v>
      </c>
    </row>
    <row r="182" spans="1:17">
      <c r="A182" s="6"/>
      <c r="B182" s="9"/>
      <c r="D182" s="9"/>
      <c r="E182" s="5">
        <v>158754.71</v>
      </c>
      <c r="G182" s="5">
        <v>222036.03</v>
      </c>
    </row>
    <row r="183" spans="1:17" ht="15.5">
      <c r="A183" s="6"/>
      <c r="B183" s="34"/>
      <c r="D183" s="34"/>
      <c r="E183" s="349">
        <v>108890.8</v>
      </c>
      <c r="G183" s="5">
        <v>149177.95000000001</v>
      </c>
    </row>
    <row r="184" spans="1:17">
      <c r="A184"/>
      <c r="B184" s="7"/>
      <c r="C184" s="28"/>
      <c r="D184" s="7"/>
      <c r="E184" s="5">
        <v>249205.52</v>
      </c>
      <c r="G184" s="5">
        <v>387177.34</v>
      </c>
      <c r="I184" s="5">
        <f>G185-E190</f>
        <v>103276.03000000003</v>
      </c>
    </row>
    <row r="185" spans="1:17">
      <c r="A185"/>
      <c r="B185" s="7"/>
      <c r="C185" s="28"/>
      <c r="D185" s="7"/>
      <c r="E185" s="354">
        <v>291128.27</v>
      </c>
      <c r="G185" s="5">
        <f>SUM(G180:G184)</f>
        <v>1709343.33</v>
      </c>
    </row>
    <row r="186" spans="1:17" ht="15.5">
      <c r="A186" s="36"/>
      <c r="C186" s="28"/>
      <c r="E186" s="351">
        <v>80308.7</v>
      </c>
      <c r="F186" s="13"/>
      <c r="G186" s="13"/>
      <c r="H186" s="13"/>
      <c r="I186" s="13"/>
      <c r="J186" s="13"/>
      <c r="K186" s="14"/>
      <c r="L186" s="14"/>
      <c r="M186" s="14"/>
      <c r="N186" s="7"/>
      <c r="O186" s="21"/>
    </row>
    <row r="187" spans="1:17" ht="15.5">
      <c r="A187" s="6"/>
      <c r="C187" s="28"/>
      <c r="E187" s="352">
        <v>63281.32</v>
      </c>
      <c r="F187" s="9"/>
      <c r="G187" s="35"/>
      <c r="H187" s="35"/>
      <c r="I187" s="35"/>
      <c r="J187" s="35"/>
      <c r="K187" s="35"/>
      <c r="L187" s="35"/>
      <c r="M187"/>
      <c r="N187" s="7"/>
      <c r="O187" s="21"/>
    </row>
    <row r="188" spans="1:17" ht="15.5">
      <c r="A188" s="6"/>
      <c r="C188" s="28"/>
      <c r="E188" s="353">
        <v>40287.15</v>
      </c>
      <c r="F188" s="9"/>
      <c r="G188" s="9"/>
      <c r="H188" s="9"/>
      <c r="I188" s="9"/>
      <c r="J188" s="9"/>
      <c r="K188" s="9"/>
      <c r="L188" s="15"/>
      <c r="M188"/>
      <c r="N188" s="7"/>
      <c r="O188" s="21"/>
    </row>
    <row r="189" spans="1:17" ht="15.5">
      <c r="C189" s="28"/>
      <c r="E189" s="354">
        <v>137971.82</v>
      </c>
      <c r="F189" s="34"/>
      <c r="G189" s="34"/>
      <c r="H189" s="34"/>
      <c r="I189" s="34"/>
      <c r="J189" s="34"/>
      <c r="K189" s="37"/>
      <c r="L189" s="37"/>
      <c r="M189"/>
      <c r="N189" s="7"/>
      <c r="O189" s="21"/>
      <c r="Q189" s="5" t="s">
        <v>7</v>
      </c>
    </row>
    <row r="190" spans="1:17" ht="15.5">
      <c r="C190" s="28"/>
      <c r="E190" s="7">
        <f>SUM(E180:E189)</f>
        <v>1606067.3</v>
      </c>
      <c r="F190" s="13"/>
      <c r="G190" s="13"/>
      <c r="H190" s="13"/>
      <c r="I190" s="13"/>
      <c r="J190" s="13"/>
      <c r="K190" s="14"/>
      <c r="L190" s="14"/>
      <c r="M190" s="14"/>
      <c r="N190" s="7"/>
      <c r="O190" s="21"/>
    </row>
    <row r="191" spans="1:17" ht="15.5">
      <c r="F191" s="13"/>
      <c r="G191" s="13"/>
      <c r="H191" s="13"/>
      <c r="I191" s="13"/>
      <c r="J191" s="13"/>
      <c r="K191" s="14"/>
      <c r="L191" s="14"/>
      <c r="M191" s="14"/>
      <c r="N191" s="7"/>
      <c r="O191" s="21"/>
    </row>
  </sheetData>
  <autoFilter ref="A5:D168" xr:uid="{00000000-0009-0000-0000-000005000000}"/>
  <mergeCells count="7">
    <mergeCell ref="P3:P4"/>
    <mergeCell ref="A3:D4"/>
    <mergeCell ref="A2:D2"/>
    <mergeCell ref="A5:A6"/>
    <mergeCell ref="B5:B6"/>
    <mergeCell ref="C5:C6"/>
    <mergeCell ref="D5:D6"/>
  </mergeCells>
  <pageMargins left="0.86875000000000002" right="0.69930555555555596" top="0.75" bottom="0.75" header="0.3" footer="0.3"/>
  <pageSetup scale="77" orientation="portrait" r:id="rId1"/>
  <rowBreaks count="4" manualBreakCount="4">
    <brk id="35" max="16" man="1"/>
    <brk id="71" max="16" man="1"/>
    <brk id="101" max="19" man="1"/>
    <brk id="136" max="16383" man="1"/>
  </rowBreaks>
  <colBreaks count="1" manualBreakCount="1">
    <brk id="4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35"/>
  <sheetViews>
    <sheetView view="pageBreakPreview" topLeftCell="C7" zoomScale="60" zoomScaleNormal="60" workbookViewId="0">
      <selection activeCell="R7" sqref="R7"/>
    </sheetView>
  </sheetViews>
  <sheetFormatPr defaultColWidth="9.1796875" defaultRowHeight="14"/>
  <cols>
    <col min="1" max="1" width="7.26953125" style="247" customWidth="1"/>
    <col min="2" max="2" width="32.7265625" style="235" customWidth="1"/>
    <col min="3" max="3" width="25.1796875" style="235" customWidth="1"/>
    <col min="4" max="4" width="21.453125" style="235" customWidth="1"/>
    <col min="5" max="5" width="8.453125" style="235" customWidth="1"/>
    <col min="6" max="6" width="20.26953125" style="235" customWidth="1"/>
    <col min="7" max="7" width="20" style="235" customWidth="1"/>
    <col min="8" max="8" width="17" style="235" customWidth="1"/>
    <col min="9" max="10" width="17.1796875" style="235" customWidth="1"/>
    <col min="11" max="11" width="13" style="235" customWidth="1"/>
    <col min="12" max="12" width="19.7265625" style="235" customWidth="1"/>
    <col min="13" max="13" width="20.26953125" style="235" customWidth="1"/>
    <col min="14" max="14" width="18.1796875" style="235" customWidth="1"/>
    <col min="15" max="15" width="16.7265625" style="235" customWidth="1"/>
    <col min="16" max="16" width="11.54296875" style="235" customWidth="1"/>
    <col min="17" max="17" width="16.1796875" style="235" customWidth="1"/>
    <col min="18" max="18" width="17.26953125" style="235" customWidth="1"/>
    <col min="19" max="19" width="19" style="235" customWidth="1"/>
    <col min="20" max="20" width="18.54296875" style="235" customWidth="1"/>
    <col min="21" max="21" width="19.54296875" style="235" customWidth="1"/>
    <col min="22" max="22" width="7.1796875" style="235" customWidth="1"/>
    <col min="23" max="23" width="8.453125" style="235" hidden="1" customWidth="1"/>
    <col min="24" max="24" width="12.26953125" style="235" customWidth="1"/>
    <col min="25" max="25" width="11.54296875" style="235" customWidth="1"/>
    <col min="26" max="26" width="9.54296875" style="235" customWidth="1"/>
    <col min="27" max="28" width="10.54296875" style="235" customWidth="1"/>
    <col min="29" max="16384" width="9.1796875" style="235"/>
  </cols>
  <sheetData>
    <row r="1" spans="1:24" ht="15">
      <c r="A1" s="386"/>
      <c r="B1" s="387"/>
      <c r="C1" s="387"/>
      <c r="D1" s="387"/>
      <c r="E1" s="387"/>
      <c r="F1" s="387"/>
      <c r="G1" s="387"/>
      <c r="H1" s="387"/>
      <c r="I1" s="387"/>
      <c r="J1" s="387"/>
      <c r="K1" s="387"/>
      <c r="L1" s="387"/>
      <c r="M1" s="387"/>
      <c r="N1" s="387"/>
      <c r="O1" s="387"/>
      <c r="P1" s="387"/>
      <c r="Q1" s="387"/>
      <c r="R1" s="387"/>
      <c r="S1" s="387"/>
      <c r="T1" s="387"/>
      <c r="U1" s="387"/>
      <c r="V1" s="387"/>
      <c r="W1" s="387"/>
    </row>
    <row r="2" spans="1:24" ht="52.5" customHeight="1" thickBot="1">
      <c r="A2" s="794" t="s">
        <v>442</v>
      </c>
      <c r="B2" s="794"/>
      <c r="C2" s="794"/>
      <c r="D2" s="794"/>
      <c r="E2" s="794"/>
      <c r="F2" s="794"/>
      <c r="G2" s="794"/>
      <c r="H2" s="794"/>
      <c r="I2" s="794"/>
      <c r="J2" s="794"/>
      <c r="K2" s="794"/>
      <c r="L2" s="794"/>
      <c r="M2" s="794"/>
      <c r="N2" s="794"/>
      <c r="O2" s="794"/>
      <c r="P2" s="794"/>
      <c r="Q2" s="794"/>
      <c r="R2" s="794"/>
      <c r="S2" s="794"/>
      <c r="T2" s="794"/>
      <c r="U2" s="794"/>
      <c r="V2" s="794"/>
      <c r="W2" s="794"/>
    </row>
    <row r="3" spans="1:24" ht="52.5" customHeight="1" thickTop="1">
      <c r="A3" s="810" t="s">
        <v>489</v>
      </c>
      <c r="B3" s="811"/>
      <c r="C3" s="811"/>
      <c r="D3" s="811"/>
      <c r="E3" s="811"/>
      <c r="F3" s="811"/>
      <c r="G3" s="811"/>
      <c r="H3" s="811"/>
      <c r="I3" s="811"/>
      <c r="J3" s="811"/>
      <c r="K3" s="811"/>
      <c r="L3" s="811"/>
      <c r="M3" s="811"/>
      <c r="N3" s="811"/>
      <c r="O3" s="811"/>
      <c r="P3" s="811"/>
      <c r="Q3" s="811"/>
      <c r="R3" s="811"/>
      <c r="S3" s="811"/>
      <c r="T3" s="811"/>
      <c r="U3" s="811"/>
      <c r="V3" s="812"/>
      <c r="W3" s="808"/>
    </row>
    <row r="4" spans="1:24" ht="52.5" customHeight="1" thickBot="1">
      <c r="A4" s="813"/>
      <c r="B4" s="814"/>
      <c r="C4" s="814"/>
      <c r="D4" s="814"/>
      <c r="E4" s="814"/>
      <c r="F4" s="814"/>
      <c r="G4" s="814"/>
      <c r="H4" s="814"/>
      <c r="I4" s="814"/>
      <c r="J4" s="814"/>
      <c r="K4" s="814"/>
      <c r="L4" s="814"/>
      <c r="M4" s="814"/>
      <c r="N4" s="814"/>
      <c r="O4" s="814"/>
      <c r="P4" s="814"/>
      <c r="Q4" s="814"/>
      <c r="R4" s="814"/>
      <c r="S4" s="814"/>
      <c r="T4" s="814"/>
      <c r="U4" s="814"/>
      <c r="V4" s="815"/>
      <c r="W4" s="809"/>
    </row>
    <row r="5" spans="1:24" ht="52.5" customHeight="1" thickTop="1" thickBot="1">
      <c r="A5" s="801" t="s">
        <v>1</v>
      </c>
      <c r="B5" s="803" t="s">
        <v>2</v>
      </c>
      <c r="C5" s="805" t="s">
        <v>10</v>
      </c>
      <c r="D5" s="643"/>
      <c r="E5" s="805" t="s">
        <v>11</v>
      </c>
      <c r="F5" s="795" t="s">
        <v>12</v>
      </c>
      <c r="G5" s="796"/>
      <c r="H5" s="796"/>
      <c r="I5" s="796"/>
      <c r="J5" s="796"/>
      <c r="K5" s="797"/>
      <c r="L5" s="806" t="s">
        <v>13</v>
      </c>
      <c r="M5" s="806" t="s">
        <v>14</v>
      </c>
      <c r="N5" s="798" t="s">
        <v>15</v>
      </c>
      <c r="O5" s="799"/>
      <c r="P5" s="799"/>
      <c r="Q5" s="799"/>
      <c r="R5" s="799"/>
      <c r="S5" s="799"/>
      <c r="T5" s="800"/>
      <c r="U5" s="644"/>
      <c r="V5" s="651" t="s">
        <v>194</v>
      </c>
      <c r="W5" s="388"/>
    </row>
    <row r="6" spans="1:24" s="280" customFormat="1" ht="52.5" customHeight="1">
      <c r="A6" s="802"/>
      <c r="B6" s="804"/>
      <c r="C6" s="804"/>
      <c r="D6" s="645" t="s">
        <v>430</v>
      </c>
      <c r="E6" s="804"/>
      <c r="F6" s="645" t="s">
        <v>429</v>
      </c>
      <c r="G6" s="645" t="s">
        <v>18</v>
      </c>
      <c r="H6" s="645" t="s">
        <v>152</v>
      </c>
      <c r="I6" s="645" t="s">
        <v>153</v>
      </c>
      <c r="J6" s="645" t="s">
        <v>355</v>
      </c>
      <c r="K6" s="645" t="s">
        <v>19</v>
      </c>
      <c r="L6" s="807"/>
      <c r="M6" s="807"/>
      <c r="N6" s="646" t="s">
        <v>22</v>
      </c>
      <c r="O6" s="647" t="s">
        <v>24</v>
      </c>
      <c r="P6" s="647" t="s">
        <v>199</v>
      </c>
      <c r="Q6" s="647" t="s">
        <v>23</v>
      </c>
      <c r="R6" s="648" t="s">
        <v>27</v>
      </c>
      <c r="S6" s="648" t="s">
        <v>28</v>
      </c>
      <c r="T6" s="649" t="s">
        <v>192</v>
      </c>
      <c r="U6" s="649" t="s">
        <v>193</v>
      </c>
      <c r="V6" s="650"/>
      <c r="W6" s="279"/>
    </row>
    <row r="7" spans="1:24" ht="52.5" customHeight="1">
      <c r="A7" s="430">
        <v>1</v>
      </c>
      <c r="B7" s="497" t="s">
        <v>154</v>
      </c>
      <c r="C7" s="497" t="s">
        <v>169</v>
      </c>
      <c r="D7" s="143">
        <v>39200</v>
      </c>
      <c r="E7" s="385">
        <v>30</v>
      </c>
      <c r="F7" s="143">
        <v>39200</v>
      </c>
      <c r="G7" s="468">
        <v>2000</v>
      </c>
      <c r="H7" s="143">
        <v>2000</v>
      </c>
      <c r="I7" s="143">
        <v>2000</v>
      </c>
      <c r="J7" s="143">
        <v>2000</v>
      </c>
      <c r="K7" s="389"/>
      <c r="L7" s="143">
        <f>F7+G7+H7+I7+J7+K7</f>
        <v>47200</v>
      </c>
      <c r="M7" s="143">
        <f>F7+K7</f>
        <v>39200</v>
      </c>
      <c r="N7" s="143">
        <f>IF(M7&lt;=2000,0,IF(M7&lt;=4000,M7*0.15-300,IF(M7&lt;=7000,M7*0.2-500,IF(M7&lt;=10000,M7*0.25-850,IF(M7&lt;=14000,M7*0.3-1350,IF(M7&gt;14000,M7*0.35-2050))))))</f>
        <v>11670</v>
      </c>
      <c r="O7" s="468">
        <v>100</v>
      </c>
      <c r="P7" s="566"/>
      <c r="Q7" s="566"/>
      <c r="R7" s="391">
        <f>F7*0.07</f>
        <v>2744.0000000000005</v>
      </c>
      <c r="S7" s="143">
        <f>F7*0.11</f>
        <v>4312</v>
      </c>
      <c r="T7" s="143">
        <f>N7+O7+Q7+P7+R7</f>
        <v>14514</v>
      </c>
      <c r="U7" s="392">
        <f>L7-T7</f>
        <v>32686</v>
      </c>
      <c r="V7" s="393"/>
      <c r="W7" s="394"/>
      <c r="X7" s="237"/>
    </row>
    <row r="8" spans="1:24" ht="52.5" customHeight="1">
      <c r="A8" s="430">
        <v>2</v>
      </c>
      <c r="B8" s="497" t="s">
        <v>373</v>
      </c>
      <c r="C8" s="497" t="s">
        <v>459</v>
      </c>
      <c r="D8" s="143">
        <v>73000</v>
      </c>
      <c r="E8" s="385">
        <v>30</v>
      </c>
      <c r="F8" s="143">
        <v>73000</v>
      </c>
      <c r="G8" s="468">
        <v>2000</v>
      </c>
      <c r="H8" s="143">
        <v>2000</v>
      </c>
      <c r="I8" s="143">
        <v>2000</v>
      </c>
      <c r="J8" s="143">
        <v>2000</v>
      </c>
      <c r="K8" s="389"/>
      <c r="L8" s="143">
        <f>F8+G8+H8+I8+J8</f>
        <v>81000</v>
      </c>
      <c r="M8" s="143">
        <f>F8</f>
        <v>73000</v>
      </c>
      <c r="N8" s="143">
        <f t="shared" ref="N8:N23" si="0">IF(M8&lt;=2000,0,IF(M8&lt;=4000,M8*0.15-300,IF(M8&lt;=7000,M8*0.2-500,IF(M8&lt;=10000,M8*0.25-850,IF(M8&lt;=14000,M8*0.3-1350,IF(M8&gt;14000,M8*0.35-2050))))))</f>
        <v>23500</v>
      </c>
      <c r="O8" s="468">
        <v>100</v>
      </c>
      <c r="P8" s="566"/>
      <c r="Q8" s="566"/>
      <c r="R8" s="391">
        <f>F8*0.07</f>
        <v>5110.0000000000009</v>
      </c>
      <c r="S8" s="143">
        <f>F8*0.11</f>
        <v>8030</v>
      </c>
      <c r="T8" s="143">
        <f>N8+O8+Q8+P8+R8</f>
        <v>28710</v>
      </c>
      <c r="U8" s="392">
        <f>L8-T8</f>
        <v>52290</v>
      </c>
      <c r="V8" s="393"/>
      <c r="W8" s="394"/>
      <c r="X8" s="237"/>
    </row>
    <row r="9" spans="1:24" ht="52.5" customHeight="1">
      <c r="A9" s="430">
        <v>3</v>
      </c>
      <c r="B9" s="497" t="s">
        <v>170</v>
      </c>
      <c r="C9" s="497" t="s">
        <v>171</v>
      </c>
      <c r="D9" s="143">
        <v>25100</v>
      </c>
      <c r="E9" s="385">
        <v>30</v>
      </c>
      <c r="F9" s="143">
        <v>25100</v>
      </c>
      <c r="G9" s="468">
        <v>2000</v>
      </c>
      <c r="H9" s="143">
        <v>2000</v>
      </c>
      <c r="I9" s="143">
        <v>2000</v>
      </c>
      <c r="J9" s="143">
        <v>2000</v>
      </c>
      <c r="K9" s="389"/>
      <c r="L9" s="143">
        <f>F9+G9+H9+I9+J9+K9</f>
        <v>33100</v>
      </c>
      <c r="M9" s="143">
        <f>F9+K9</f>
        <v>25100</v>
      </c>
      <c r="N9" s="143">
        <f t="shared" si="0"/>
        <v>6735</v>
      </c>
      <c r="O9" s="468">
        <v>100</v>
      </c>
      <c r="P9" s="566"/>
      <c r="Q9" s="566"/>
      <c r="R9" s="391">
        <f>F9*0.07</f>
        <v>1757.0000000000002</v>
      </c>
      <c r="S9" s="143">
        <f>F9*0.11</f>
        <v>2761</v>
      </c>
      <c r="T9" s="143">
        <f>N9+O9+Q9+P9+R9</f>
        <v>8592</v>
      </c>
      <c r="U9" s="392">
        <f>L9-T9</f>
        <v>24508</v>
      </c>
      <c r="V9" s="393"/>
      <c r="W9" s="394"/>
      <c r="X9" s="237"/>
    </row>
    <row r="10" spans="1:24" ht="52.5" customHeight="1">
      <c r="A10" s="430">
        <v>4</v>
      </c>
      <c r="B10" s="497" t="s">
        <v>155</v>
      </c>
      <c r="C10" s="497" t="s">
        <v>172</v>
      </c>
      <c r="D10" s="143">
        <v>23430</v>
      </c>
      <c r="E10" s="385">
        <v>30</v>
      </c>
      <c r="F10" s="143">
        <v>23430</v>
      </c>
      <c r="G10" s="468">
        <v>2000</v>
      </c>
      <c r="H10" s="143">
        <v>2000</v>
      </c>
      <c r="I10" s="143">
        <v>2000</v>
      </c>
      <c r="J10" s="143">
        <v>2000</v>
      </c>
      <c r="K10" s="389"/>
      <c r="L10" s="143">
        <f>F10+G10+H10+I10+K10+J10</f>
        <v>31430</v>
      </c>
      <c r="M10" s="143">
        <f>F10+K10</f>
        <v>23430</v>
      </c>
      <c r="N10" s="143">
        <f t="shared" si="0"/>
        <v>6150.5</v>
      </c>
      <c r="O10" s="468">
        <v>0</v>
      </c>
      <c r="P10" s="468"/>
      <c r="Q10" s="566"/>
      <c r="R10" s="391">
        <f>F10*0.07</f>
        <v>1640.1000000000001</v>
      </c>
      <c r="S10" s="143">
        <f>F10*0.11</f>
        <v>2577.3000000000002</v>
      </c>
      <c r="T10" s="143">
        <f t="shared" ref="T10:T18" si="1">N10+O10+Q10+P10+R10</f>
        <v>7790.6</v>
      </c>
      <c r="U10" s="392">
        <f>L10-T10</f>
        <v>23639.4</v>
      </c>
      <c r="V10" s="393"/>
      <c r="W10" s="394"/>
      <c r="X10" s="237"/>
    </row>
    <row r="11" spans="1:24" ht="52.5" customHeight="1">
      <c r="A11" s="430">
        <v>5</v>
      </c>
      <c r="B11" s="498" t="s">
        <v>268</v>
      </c>
      <c r="C11" s="497" t="s">
        <v>342</v>
      </c>
      <c r="D11" s="143">
        <v>16400</v>
      </c>
      <c r="E11" s="385">
        <v>30</v>
      </c>
      <c r="F11" s="143">
        <v>16400</v>
      </c>
      <c r="G11" s="690">
        <v>600</v>
      </c>
      <c r="H11" s="389"/>
      <c r="I11" s="389"/>
      <c r="J11" s="389"/>
      <c r="K11" s="389"/>
      <c r="L11" s="143">
        <f>F11+G11+H11+I11+K11+J11</f>
        <v>17000</v>
      </c>
      <c r="M11" s="143">
        <f>F11+H11+I11+K11</f>
        <v>16400</v>
      </c>
      <c r="N11" s="143">
        <f t="shared" si="0"/>
        <v>3690</v>
      </c>
      <c r="O11" s="468"/>
      <c r="P11" s="566"/>
      <c r="Q11" s="566"/>
      <c r="R11" s="391">
        <f>F11*0.07</f>
        <v>1148</v>
      </c>
      <c r="S11" s="143">
        <f>F11*0.11</f>
        <v>1804</v>
      </c>
      <c r="T11" s="143">
        <f t="shared" si="1"/>
        <v>4838</v>
      </c>
      <c r="U11" s="392">
        <f>L11-T11</f>
        <v>12162</v>
      </c>
      <c r="V11" s="393"/>
      <c r="W11" s="394"/>
      <c r="X11" s="237"/>
    </row>
    <row r="12" spans="1:24" s="239" customFormat="1" ht="52.5" customHeight="1">
      <c r="A12" s="430">
        <v>6</v>
      </c>
      <c r="B12" s="497" t="s">
        <v>156</v>
      </c>
      <c r="C12" s="497" t="s">
        <v>205</v>
      </c>
      <c r="D12" s="356">
        <v>9703.83</v>
      </c>
      <c r="E12" s="385">
        <v>30</v>
      </c>
      <c r="F12" s="143">
        <v>9703.83</v>
      </c>
      <c r="G12" s="389"/>
      <c r="H12" s="389"/>
      <c r="I12" s="389"/>
      <c r="J12" s="389"/>
      <c r="K12" s="389"/>
      <c r="L12" s="143">
        <f t="shared" ref="L12:L23" si="2">F12+G12+H12+I12+K12+J12</f>
        <v>9703.83</v>
      </c>
      <c r="M12" s="143">
        <f t="shared" ref="M12:M18" si="3">F12+H12+I12+K12</f>
        <v>9703.83</v>
      </c>
      <c r="N12" s="143">
        <f t="shared" si="0"/>
        <v>1575.9575</v>
      </c>
      <c r="O12" s="468">
        <v>100</v>
      </c>
      <c r="P12" s="468"/>
      <c r="Q12" s="566"/>
      <c r="R12" s="391"/>
      <c r="S12" s="143"/>
      <c r="T12" s="143">
        <f t="shared" si="1"/>
        <v>1675.9575</v>
      </c>
      <c r="U12" s="392">
        <f t="shared" ref="U12:U18" si="4">L12-T12</f>
        <v>8027.8724999999995</v>
      </c>
      <c r="V12" s="393"/>
      <c r="W12" s="395"/>
      <c r="X12" s="238"/>
    </row>
    <row r="13" spans="1:24" s="243" customFormat="1" ht="52.5" customHeight="1">
      <c r="A13" s="430">
        <v>7</v>
      </c>
      <c r="B13" s="498" t="s">
        <v>157</v>
      </c>
      <c r="C13" s="498" t="s">
        <v>173</v>
      </c>
      <c r="D13" s="143">
        <v>13057.2</v>
      </c>
      <c r="E13" s="389">
        <v>30</v>
      </c>
      <c r="F13" s="143">
        <v>13057.2</v>
      </c>
      <c r="G13" s="389"/>
      <c r="H13" s="389"/>
      <c r="I13" s="389"/>
      <c r="J13" s="389"/>
      <c r="K13" s="389"/>
      <c r="L13" s="143">
        <f t="shared" si="2"/>
        <v>13057.2</v>
      </c>
      <c r="M13" s="143">
        <f>F13</f>
        <v>13057.2</v>
      </c>
      <c r="N13" s="143">
        <f t="shared" si="0"/>
        <v>2567.16</v>
      </c>
      <c r="O13" s="468">
        <v>100</v>
      </c>
      <c r="P13" s="566"/>
      <c r="Q13" s="468"/>
      <c r="R13" s="143"/>
      <c r="S13" s="143"/>
      <c r="T13" s="143">
        <f t="shared" si="1"/>
        <v>2667.16</v>
      </c>
      <c r="U13" s="396">
        <f t="shared" si="4"/>
        <v>10390.040000000001</v>
      </c>
      <c r="V13" s="393"/>
      <c r="W13" s="397"/>
      <c r="X13" s="242"/>
    </row>
    <row r="14" spans="1:24" ht="52.5" customHeight="1">
      <c r="A14" s="430">
        <v>8</v>
      </c>
      <c r="B14" s="498" t="s">
        <v>158</v>
      </c>
      <c r="C14" s="498" t="s">
        <v>20</v>
      </c>
      <c r="D14" s="143">
        <v>12043.2</v>
      </c>
      <c r="E14" s="389">
        <v>30</v>
      </c>
      <c r="F14" s="143">
        <v>12043.2</v>
      </c>
      <c r="G14" s="389"/>
      <c r="H14" s="389"/>
      <c r="I14" s="389">
        <v>1500</v>
      </c>
      <c r="J14" s="389"/>
      <c r="K14" s="389"/>
      <c r="L14" s="143">
        <f t="shared" si="2"/>
        <v>13543.2</v>
      </c>
      <c r="M14" s="143">
        <f>F14</f>
        <v>12043.2</v>
      </c>
      <c r="N14" s="143">
        <f t="shared" si="0"/>
        <v>2262.96</v>
      </c>
      <c r="O14" s="468">
        <v>100</v>
      </c>
      <c r="P14" s="468"/>
      <c r="Q14" s="566">
        <v>2625</v>
      </c>
      <c r="R14" s="143">
        <f t="shared" ref="R14:R19" si="5">F14*0.07</f>
        <v>843.02400000000011</v>
      </c>
      <c r="S14" s="143">
        <f t="shared" ref="S14:S19" si="6">F14*0.11</f>
        <v>1324.7520000000002</v>
      </c>
      <c r="T14" s="143">
        <f t="shared" si="1"/>
        <v>5830.9840000000004</v>
      </c>
      <c r="U14" s="392">
        <f t="shared" si="4"/>
        <v>7712.2160000000003</v>
      </c>
      <c r="V14" s="398"/>
      <c r="W14" s="394"/>
      <c r="X14" s="237"/>
    </row>
    <row r="15" spans="1:24" s="241" customFormat="1" ht="52.5" customHeight="1">
      <c r="A15" s="430">
        <v>9</v>
      </c>
      <c r="B15" s="498" t="s">
        <v>159</v>
      </c>
      <c r="C15" s="498" t="s">
        <v>20</v>
      </c>
      <c r="D15" s="143">
        <v>9800</v>
      </c>
      <c r="E15" s="400">
        <v>29</v>
      </c>
      <c r="F15" s="390">
        <v>9473.33</v>
      </c>
      <c r="G15" s="389"/>
      <c r="H15" s="389"/>
      <c r="I15" s="389">
        <v>1500</v>
      </c>
      <c r="J15" s="389"/>
      <c r="K15" s="389"/>
      <c r="L15" s="143">
        <f t="shared" si="2"/>
        <v>10973.33</v>
      </c>
      <c r="M15" s="143">
        <f>F15</f>
        <v>9473.33</v>
      </c>
      <c r="N15" s="143">
        <f t="shared" si="0"/>
        <v>1518.3325</v>
      </c>
      <c r="O15" s="468">
        <v>100</v>
      </c>
      <c r="P15" s="566"/>
      <c r="Q15" s="566"/>
      <c r="R15" s="143"/>
      <c r="S15" s="143"/>
      <c r="T15" s="143">
        <f t="shared" si="1"/>
        <v>1618.3325</v>
      </c>
      <c r="U15" s="392">
        <f t="shared" si="4"/>
        <v>9354.9974999999995</v>
      </c>
      <c r="V15" s="398"/>
      <c r="W15" s="399"/>
      <c r="X15" s="240"/>
    </row>
    <row r="16" spans="1:24" s="243" customFormat="1" ht="52.5" customHeight="1">
      <c r="A16" s="430">
        <v>10</v>
      </c>
      <c r="B16" s="498" t="s">
        <v>174</v>
      </c>
      <c r="C16" s="498" t="s">
        <v>175</v>
      </c>
      <c r="D16" s="143">
        <v>18023.400000000001</v>
      </c>
      <c r="E16" s="389">
        <v>30</v>
      </c>
      <c r="F16" s="143">
        <v>18023.400000000001</v>
      </c>
      <c r="G16" s="389"/>
      <c r="H16" s="389"/>
      <c r="I16" s="389">
        <v>1000</v>
      </c>
      <c r="J16" s="389"/>
      <c r="K16" s="400"/>
      <c r="L16" s="143">
        <f t="shared" si="2"/>
        <v>19023.400000000001</v>
      </c>
      <c r="M16" s="143">
        <f>F16+H16</f>
        <v>18023.400000000001</v>
      </c>
      <c r="N16" s="143">
        <f t="shared" si="0"/>
        <v>4258.1900000000005</v>
      </c>
      <c r="O16" s="468">
        <v>100</v>
      </c>
      <c r="P16" s="566"/>
      <c r="Q16" s="468"/>
      <c r="R16" s="143">
        <f t="shared" si="5"/>
        <v>1261.6380000000001</v>
      </c>
      <c r="S16" s="143">
        <f t="shared" si="6"/>
        <v>1982.5740000000001</v>
      </c>
      <c r="T16" s="143">
        <f t="shared" si="1"/>
        <v>5619.8280000000004</v>
      </c>
      <c r="U16" s="396">
        <f t="shared" si="4"/>
        <v>13403.572</v>
      </c>
      <c r="V16" s="393"/>
      <c r="W16" s="397"/>
      <c r="X16" s="242"/>
    </row>
    <row r="17" spans="1:24" s="243" customFormat="1" ht="52.5" customHeight="1">
      <c r="A17" s="430">
        <v>11</v>
      </c>
      <c r="B17" s="499" t="s">
        <v>160</v>
      </c>
      <c r="C17" s="498" t="s">
        <v>176</v>
      </c>
      <c r="D17" s="143">
        <v>13819.71</v>
      </c>
      <c r="E17" s="389">
        <v>30</v>
      </c>
      <c r="F17" s="143">
        <v>13819.71</v>
      </c>
      <c r="G17" s="389">
        <v>1600</v>
      </c>
      <c r="H17" s="389"/>
      <c r="I17" s="389"/>
      <c r="J17" s="389"/>
      <c r="K17" s="389"/>
      <c r="L17" s="143">
        <f>F17+G17+H17+I17+K17+J17</f>
        <v>15419.71</v>
      </c>
      <c r="M17" s="143">
        <f>F17+H17+I17</f>
        <v>13819.71</v>
      </c>
      <c r="N17" s="143">
        <f t="shared" si="0"/>
        <v>2795.9129999999996</v>
      </c>
      <c r="O17" s="468">
        <v>0</v>
      </c>
      <c r="P17" s="566"/>
      <c r="Q17" s="566">
        <v>1800</v>
      </c>
      <c r="R17" s="143">
        <f t="shared" si="5"/>
        <v>967.37970000000007</v>
      </c>
      <c r="S17" s="143">
        <f t="shared" si="6"/>
        <v>1520.1680999999999</v>
      </c>
      <c r="T17" s="143">
        <f t="shared" si="1"/>
        <v>5563.2927</v>
      </c>
      <c r="U17" s="396">
        <f t="shared" si="4"/>
        <v>9856.4172999999992</v>
      </c>
      <c r="V17" s="393"/>
      <c r="W17" s="397"/>
      <c r="X17" s="242"/>
    </row>
    <row r="18" spans="1:24" s="239" customFormat="1" ht="52.5" customHeight="1">
      <c r="A18" s="430">
        <v>12</v>
      </c>
      <c r="B18" s="500" t="s">
        <v>183</v>
      </c>
      <c r="C18" s="498" t="s">
        <v>184</v>
      </c>
      <c r="D18" s="143">
        <v>17300</v>
      </c>
      <c r="E18" s="389">
        <v>30</v>
      </c>
      <c r="F18" s="143">
        <v>17300</v>
      </c>
      <c r="G18" s="389"/>
      <c r="H18" s="389"/>
      <c r="I18" s="389"/>
      <c r="J18" s="389"/>
      <c r="K18" s="389"/>
      <c r="L18" s="143">
        <f t="shared" si="2"/>
        <v>17300</v>
      </c>
      <c r="M18" s="143">
        <f t="shared" si="3"/>
        <v>17300</v>
      </c>
      <c r="N18" s="143">
        <f t="shared" si="0"/>
        <v>4005</v>
      </c>
      <c r="O18" s="468">
        <v>100</v>
      </c>
      <c r="P18" s="468"/>
      <c r="Q18" s="566"/>
      <c r="R18" s="401">
        <f t="shared" si="5"/>
        <v>1211.0000000000002</v>
      </c>
      <c r="S18" s="143">
        <f t="shared" si="6"/>
        <v>1903</v>
      </c>
      <c r="T18" s="143">
        <f t="shared" si="1"/>
        <v>5316</v>
      </c>
      <c r="U18" s="392">
        <f t="shared" si="4"/>
        <v>11984</v>
      </c>
      <c r="V18" s="402"/>
      <c r="W18" s="395"/>
      <c r="X18" s="238"/>
    </row>
    <row r="19" spans="1:24" s="239" customFormat="1" ht="52.5" customHeight="1">
      <c r="A19" s="430">
        <v>13</v>
      </c>
      <c r="B19" s="501" t="s">
        <v>118</v>
      </c>
      <c r="C19" s="502" t="s">
        <v>200</v>
      </c>
      <c r="D19" s="143">
        <v>14300</v>
      </c>
      <c r="E19" s="385">
        <v>30</v>
      </c>
      <c r="F19" s="143">
        <v>14300</v>
      </c>
      <c r="G19" s="466">
        <v>2000</v>
      </c>
      <c r="H19" s="389"/>
      <c r="I19" s="143"/>
      <c r="J19" s="143"/>
      <c r="K19" s="143"/>
      <c r="L19" s="143">
        <f t="shared" si="2"/>
        <v>16300</v>
      </c>
      <c r="M19" s="143">
        <f>F19</f>
        <v>14300</v>
      </c>
      <c r="N19" s="143">
        <f t="shared" si="0"/>
        <v>2955</v>
      </c>
      <c r="O19" s="468">
        <v>100</v>
      </c>
      <c r="P19" s="566"/>
      <c r="Q19" s="566">
        <v>1800</v>
      </c>
      <c r="R19" s="401">
        <f t="shared" si="5"/>
        <v>1001.0000000000001</v>
      </c>
      <c r="S19" s="143">
        <f t="shared" si="6"/>
        <v>1573</v>
      </c>
      <c r="T19" s="143">
        <f>N19+O19+Q19+P19+R19</f>
        <v>5856</v>
      </c>
      <c r="U19" s="392">
        <f>L19-T19</f>
        <v>10444</v>
      </c>
      <c r="V19" s="404"/>
      <c r="W19" s="395"/>
      <c r="X19" s="238"/>
    </row>
    <row r="20" spans="1:24" s="245" customFormat="1" ht="52.5" customHeight="1">
      <c r="A20" s="430">
        <v>14</v>
      </c>
      <c r="B20" s="497" t="s">
        <v>115</v>
      </c>
      <c r="C20" s="497" t="s">
        <v>343</v>
      </c>
      <c r="D20" s="143">
        <v>12500</v>
      </c>
      <c r="E20" s="385">
        <v>30</v>
      </c>
      <c r="F20" s="143">
        <v>12500</v>
      </c>
      <c r="G20" s="403"/>
      <c r="H20" s="389"/>
      <c r="I20" s="143"/>
      <c r="J20" s="143"/>
      <c r="K20" s="143"/>
      <c r="L20" s="143">
        <f t="shared" si="2"/>
        <v>12500</v>
      </c>
      <c r="M20" s="143">
        <f>F20</f>
        <v>12500</v>
      </c>
      <c r="N20" s="143">
        <f t="shared" si="0"/>
        <v>2400</v>
      </c>
      <c r="O20" s="468">
        <v>100</v>
      </c>
      <c r="P20" s="566"/>
      <c r="Q20" s="566"/>
      <c r="R20" s="401">
        <f>F20*0.07</f>
        <v>875.00000000000011</v>
      </c>
      <c r="S20" s="143">
        <f>F20*0.11</f>
        <v>1375</v>
      </c>
      <c r="T20" s="143">
        <f>N20+O20+Q20+P20+R20</f>
        <v>3375</v>
      </c>
      <c r="U20" s="392">
        <f>L20-T20</f>
        <v>9125</v>
      </c>
      <c r="V20" s="404"/>
      <c r="W20" s="405"/>
      <c r="X20" s="244"/>
    </row>
    <row r="21" spans="1:24" s="245" customFormat="1" ht="52.5" customHeight="1">
      <c r="A21" s="430">
        <v>15</v>
      </c>
      <c r="B21" s="497" t="s">
        <v>359</v>
      </c>
      <c r="C21" s="497"/>
      <c r="D21" s="143">
        <v>40000</v>
      </c>
      <c r="E21" s="385">
        <v>30</v>
      </c>
      <c r="F21" s="143">
        <v>40000</v>
      </c>
      <c r="G21" s="403"/>
      <c r="H21" s="389"/>
      <c r="I21" s="143"/>
      <c r="J21" s="143"/>
      <c r="K21" s="143"/>
      <c r="L21" s="143">
        <f t="shared" si="2"/>
        <v>40000</v>
      </c>
      <c r="M21" s="143">
        <v>40000</v>
      </c>
      <c r="N21" s="143">
        <f t="shared" si="0"/>
        <v>11950</v>
      </c>
      <c r="O21" s="468"/>
      <c r="P21" s="639"/>
      <c r="Q21" s="566"/>
      <c r="R21" s="401">
        <f>F21*0.07</f>
        <v>2800.0000000000005</v>
      </c>
      <c r="S21" s="143">
        <f>F21*0.11</f>
        <v>4400</v>
      </c>
      <c r="T21" s="143">
        <f t="shared" ref="T21:T23" si="7">N21+O21+Q21+P21+R21</f>
        <v>14750</v>
      </c>
      <c r="U21" s="392">
        <f t="shared" ref="U21:U23" si="8">L21-T21</f>
        <v>25250</v>
      </c>
      <c r="V21" s="404"/>
      <c r="W21" s="405"/>
      <c r="X21" s="244"/>
    </row>
    <row r="22" spans="1:24" s="245" customFormat="1" ht="52.5" customHeight="1">
      <c r="A22" s="430">
        <v>16</v>
      </c>
      <c r="B22" s="497" t="s">
        <v>460</v>
      </c>
      <c r="C22" s="503" t="s">
        <v>461</v>
      </c>
      <c r="D22" s="143">
        <v>28000</v>
      </c>
      <c r="E22" s="385">
        <v>30</v>
      </c>
      <c r="F22" s="143">
        <v>28000</v>
      </c>
      <c r="G22" s="467">
        <v>2000</v>
      </c>
      <c r="H22" s="407"/>
      <c r="I22" s="315">
        <v>0</v>
      </c>
      <c r="J22" s="315"/>
      <c r="K22" s="315"/>
      <c r="L22" s="143">
        <f t="shared" si="2"/>
        <v>30000</v>
      </c>
      <c r="M22" s="143">
        <f>F22</f>
        <v>28000</v>
      </c>
      <c r="N22" s="143">
        <f t="shared" si="0"/>
        <v>7750</v>
      </c>
      <c r="O22" s="640">
        <v>100</v>
      </c>
      <c r="P22" s="641"/>
      <c r="Q22" s="642"/>
      <c r="R22" s="401"/>
      <c r="S22" s="143"/>
      <c r="T22" s="143">
        <f t="shared" si="7"/>
        <v>7850</v>
      </c>
      <c r="U22" s="392">
        <f t="shared" si="8"/>
        <v>22150</v>
      </c>
      <c r="V22" s="408"/>
      <c r="W22" s="405"/>
      <c r="X22" s="244"/>
    </row>
    <row r="23" spans="1:24" s="245" customFormat="1" ht="52.5" customHeight="1">
      <c r="A23" s="430">
        <v>16</v>
      </c>
      <c r="B23" s="497" t="s">
        <v>437</v>
      </c>
      <c r="C23" s="497" t="s">
        <v>200</v>
      </c>
      <c r="D23" s="143">
        <v>12000</v>
      </c>
      <c r="E23" s="385">
        <v>30</v>
      </c>
      <c r="F23" s="143">
        <v>12000</v>
      </c>
      <c r="G23" s="406"/>
      <c r="H23" s="407"/>
      <c r="I23" s="315"/>
      <c r="J23" s="315"/>
      <c r="K23" s="315"/>
      <c r="L23" s="143">
        <f t="shared" si="2"/>
        <v>12000</v>
      </c>
      <c r="M23" s="143">
        <f>F23</f>
        <v>12000</v>
      </c>
      <c r="N23" s="143">
        <f t="shared" si="0"/>
        <v>2250</v>
      </c>
      <c r="O23" s="640">
        <v>100</v>
      </c>
      <c r="P23" s="641"/>
      <c r="Q23" s="642"/>
      <c r="R23" s="409">
        <f>F23*0.07</f>
        <v>840.00000000000011</v>
      </c>
      <c r="S23" s="315">
        <f>F23*0.11</f>
        <v>1320</v>
      </c>
      <c r="T23" s="143">
        <f t="shared" si="7"/>
        <v>3190</v>
      </c>
      <c r="U23" s="392">
        <f t="shared" si="8"/>
        <v>8810</v>
      </c>
      <c r="V23" s="408"/>
      <c r="W23" s="405"/>
      <c r="X23" s="244"/>
    </row>
    <row r="24" spans="1:24" s="241" customFormat="1" ht="52.5" customHeight="1" thickBot="1">
      <c r="A24" s="410"/>
      <c r="B24" s="652" t="s">
        <v>4</v>
      </c>
      <c r="C24" s="411"/>
      <c r="D24" s="411">
        <f>SUM(D7:D23)</f>
        <v>377677.33999999997</v>
      </c>
      <c r="E24" s="411"/>
      <c r="F24" s="274">
        <f t="shared" ref="F24:K24" si="9">SUM(F7:F23)</f>
        <v>377350.67</v>
      </c>
      <c r="G24" s="496">
        <f t="shared" si="9"/>
        <v>14200</v>
      </c>
      <c r="H24" s="496">
        <f t="shared" si="9"/>
        <v>8000</v>
      </c>
      <c r="I24" s="496">
        <f t="shared" si="9"/>
        <v>12000</v>
      </c>
      <c r="J24" s="496">
        <f t="shared" si="9"/>
        <v>8000</v>
      </c>
      <c r="K24" s="274">
        <f t="shared" si="9"/>
        <v>0</v>
      </c>
      <c r="L24" s="274">
        <f t="shared" ref="L24:U24" si="10">SUM(L7:L23)</f>
        <v>419550.67000000004</v>
      </c>
      <c r="M24" s="274">
        <f>SUM(M7:M23)</f>
        <v>377350.67</v>
      </c>
      <c r="N24" s="274">
        <f>SUM(N7:N23)</f>
        <v>98034.012999999992</v>
      </c>
      <c r="O24" s="412">
        <f t="shared" si="10"/>
        <v>1300</v>
      </c>
      <c r="P24" s="413"/>
      <c r="Q24" s="274">
        <f t="shared" si="10"/>
        <v>6225</v>
      </c>
      <c r="R24" s="274">
        <f t="shared" si="10"/>
        <v>22198.141700000004</v>
      </c>
      <c r="S24" s="274">
        <f t="shared" si="10"/>
        <v>34882.794099999999</v>
      </c>
      <c r="T24" s="464">
        <f t="shared" si="10"/>
        <v>127757.1547</v>
      </c>
      <c r="U24" s="274">
        <f t="shared" si="10"/>
        <v>291793.51529999997</v>
      </c>
      <c r="V24" s="414"/>
      <c r="W24" s="415"/>
    </row>
    <row r="25" spans="1:24" s="241" customFormat="1" ht="52.5" customHeight="1" thickTop="1">
      <c r="A25" s="416"/>
      <c r="B25" s="417"/>
      <c r="C25" s="417"/>
      <c r="D25" s="417"/>
      <c r="E25" s="417"/>
      <c r="F25" s="417"/>
      <c r="G25" s="417"/>
      <c r="H25" s="417"/>
      <c r="I25" s="417"/>
      <c r="J25" s="417"/>
      <c r="K25" s="417"/>
      <c r="L25" s="417"/>
      <c r="M25" s="417"/>
      <c r="N25" s="417"/>
      <c r="O25" s="417"/>
      <c r="P25" s="417"/>
      <c r="Q25" s="417"/>
      <c r="R25" s="417"/>
      <c r="S25" s="417"/>
      <c r="T25" s="417"/>
      <c r="U25" s="417"/>
      <c r="V25" s="417"/>
      <c r="W25" s="415"/>
    </row>
    <row r="26" spans="1:24" ht="52.5" customHeight="1">
      <c r="A26" s="418"/>
      <c r="B26" s="494" t="s">
        <v>161</v>
      </c>
      <c r="C26" s="419"/>
      <c r="D26" s="419"/>
      <c r="E26" s="419"/>
      <c r="F26" s="494" t="s">
        <v>162</v>
      </c>
      <c r="G26" s="420"/>
      <c r="H26" s="419"/>
      <c r="I26" s="419"/>
      <c r="J26" s="419"/>
      <c r="K26" s="419" t="s">
        <v>177</v>
      </c>
      <c r="L26" s="419"/>
      <c r="M26" s="419"/>
      <c r="N26" s="419"/>
      <c r="O26" s="421"/>
      <c r="P26" s="422"/>
      <c r="Q26" s="419"/>
      <c r="R26" s="419"/>
      <c r="S26" s="495"/>
      <c r="T26" s="419"/>
      <c r="U26" s="423"/>
      <c r="V26" s="423"/>
      <c r="W26" s="394"/>
      <c r="X26" s="237"/>
    </row>
    <row r="27" spans="1:24" ht="52.5" customHeight="1">
      <c r="A27" s="418"/>
      <c r="B27" s="419"/>
      <c r="C27" s="419"/>
      <c r="D27" s="419"/>
      <c r="E27" s="419"/>
      <c r="F27" s="419"/>
      <c r="G27" s="419"/>
      <c r="H27" s="419"/>
      <c r="I27" s="419"/>
      <c r="J27" s="419"/>
      <c r="K27" s="494" t="s">
        <v>178</v>
      </c>
      <c r="L27" s="494"/>
      <c r="M27" s="419"/>
      <c r="N27" s="419"/>
      <c r="O27" s="422"/>
      <c r="P27" s="422"/>
      <c r="Q27" s="419"/>
      <c r="R27" s="419"/>
      <c r="S27" s="419"/>
      <c r="T27" s="419"/>
      <c r="U27" s="423"/>
      <c r="V27" s="423"/>
      <c r="W27" s="394"/>
      <c r="X27" s="237"/>
    </row>
    <row r="28" spans="1:24" ht="52.5" customHeight="1">
      <c r="A28" s="424"/>
      <c r="B28" s="419" t="s">
        <v>163</v>
      </c>
      <c r="C28" s="419"/>
      <c r="D28" s="419"/>
      <c r="E28" s="419"/>
      <c r="F28" s="420" t="s">
        <v>164</v>
      </c>
      <c r="G28" s="419"/>
      <c r="H28" s="419"/>
      <c r="I28" s="419"/>
      <c r="J28" s="419"/>
      <c r="K28" s="419" t="s">
        <v>164</v>
      </c>
      <c r="L28" s="419"/>
      <c r="M28" s="419"/>
      <c r="N28" s="419"/>
      <c r="O28" s="422"/>
      <c r="P28" s="422"/>
      <c r="Q28" s="419"/>
      <c r="R28" s="419" t="s">
        <v>164</v>
      </c>
      <c r="S28" s="419"/>
      <c r="T28" s="419"/>
      <c r="U28" s="423"/>
      <c r="V28" s="423"/>
      <c r="W28" s="394"/>
    </row>
    <row r="29" spans="1:24" ht="52.5" customHeight="1">
      <c r="A29" s="416"/>
      <c r="B29" s="417"/>
      <c r="C29" s="417"/>
      <c r="D29" s="417"/>
      <c r="E29" s="417"/>
      <c r="F29" s="417"/>
      <c r="G29" s="417"/>
      <c r="H29" s="417"/>
      <c r="I29" s="417"/>
      <c r="J29" s="417"/>
      <c r="K29" s="417"/>
      <c r="L29" s="417"/>
      <c r="M29" s="417"/>
      <c r="N29" s="417"/>
      <c r="O29" s="417"/>
      <c r="P29" s="417"/>
      <c r="Q29" s="417"/>
      <c r="R29" s="417"/>
      <c r="S29" s="417"/>
      <c r="T29" s="417"/>
      <c r="U29" s="417"/>
      <c r="V29" s="417"/>
      <c r="W29" s="425"/>
    </row>
    <row r="30" spans="1:24" ht="52.5" customHeight="1">
      <c r="A30" s="426"/>
      <c r="B30" s="427"/>
      <c r="C30" s="427"/>
      <c r="D30" s="427"/>
      <c r="E30" s="427"/>
      <c r="F30" s="427"/>
      <c r="G30" s="427"/>
      <c r="H30" s="427"/>
      <c r="I30" s="427"/>
      <c r="J30" s="427"/>
      <c r="K30" s="427"/>
      <c r="L30" s="427"/>
      <c r="M30" s="428"/>
      <c r="N30" s="428"/>
      <c r="O30" s="417"/>
      <c r="P30" s="417"/>
      <c r="Q30" s="428"/>
      <c r="R30" s="428"/>
      <c r="S30" s="429"/>
      <c r="T30" s="429"/>
      <c r="U30" s="427"/>
      <c r="V30" s="429"/>
      <c r="W30" s="425"/>
    </row>
    <row r="31" spans="1:24" ht="15.75" customHeight="1">
      <c r="A31" s="246"/>
      <c r="B31" s="236"/>
      <c r="C31" s="236"/>
      <c r="D31" s="236"/>
      <c r="E31" s="236"/>
      <c r="F31" s="236"/>
      <c r="G31" s="236"/>
      <c r="H31" s="236"/>
      <c r="I31" s="236"/>
      <c r="J31" s="236"/>
      <c r="K31" s="236"/>
      <c r="L31" s="236"/>
      <c r="M31" s="236"/>
      <c r="N31" s="236"/>
      <c r="O31" s="234"/>
      <c r="P31" s="234"/>
      <c r="Q31" s="236"/>
      <c r="R31" s="236"/>
      <c r="S31" s="236"/>
      <c r="T31" s="236"/>
      <c r="U31" s="236"/>
      <c r="V31" s="236"/>
      <c r="W31" s="102"/>
    </row>
    <row r="32" spans="1:24">
      <c r="O32" s="248"/>
      <c r="P32" s="248"/>
      <c r="W32" s="102"/>
      <c r="X32" s="235" t="s">
        <v>7</v>
      </c>
    </row>
    <row r="33" spans="1:23">
      <c r="O33" s="248"/>
      <c r="P33" s="248"/>
      <c r="W33" s="102"/>
    </row>
    <row r="34" spans="1:23">
      <c r="O34" s="248"/>
      <c r="P34" s="248"/>
    </row>
    <row r="35" spans="1:23" ht="63" customHeight="1">
      <c r="A35" s="247">
        <v>2</v>
      </c>
      <c r="B35" s="235" t="s">
        <v>127</v>
      </c>
      <c r="C35" s="235" t="s">
        <v>128</v>
      </c>
      <c r="E35" s="235">
        <v>30</v>
      </c>
      <c r="F35" s="235">
        <v>6463.75</v>
      </c>
      <c r="H35" s="235">
        <v>6463.75</v>
      </c>
      <c r="I35" s="235">
        <v>6463.75</v>
      </c>
      <c r="J35" s="235">
        <v>792.75</v>
      </c>
      <c r="M35" s="235">
        <v>452.46250000000003</v>
      </c>
      <c r="N35" s="235">
        <v>711.01250000000005</v>
      </c>
      <c r="P35" s="235">
        <v>1245.2125000000001</v>
      </c>
      <c r="Q35" s="235">
        <v>5218.5375000000004</v>
      </c>
      <c r="T35" s="235">
        <v>79</v>
      </c>
      <c r="U35" s="235" t="e">
        <v>#REF!</v>
      </c>
      <c r="V35" s="235" t="e">
        <v>#REF!</v>
      </c>
      <c r="W35" s="235" t="e">
        <v>#REF!</v>
      </c>
    </row>
  </sheetData>
  <mergeCells count="11">
    <mergeCell ref="A2:W2"/>
    <mergeCell ref="F5:K5"/>
    <mergeCell ref="N5:T5"/>
    <mergeCell ref="A5:A6"/>
    <mergeCell ref="B5:B6"/>
    <mergeCell ref="C5:C6"/>
    <mergeCell ref="E5:E6"/>
    <mergeCell ref="L5:L6"/>
    <mergeCell ref="M5:M6"/>
    <mergeCell ref="W3:W4"/>
    <mergeCell ref="A3:V4"/>
  </mergeCells>
  <pageMargins left="0.20902777777777801" right="0.15" top="0.75" bottom="0.75" header="0.3" footer="0.3"/>
  <pageSetup scale="34" orientation="landscape" r:id="rId1"/>
  <colBreaks count="1" manualBreakCount="1">
    <brk id="23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K157"/>
  <sheetViews>
    <sheetView zoomScaleNormal="100" workbookViewId="0">
      <selection activeCell="N11" sqref="N11"/>
    </sheetView>
  </sheetViews>
  <sheetFormatPr defaultRowHeight="14.5"/>
  <cols>
    <col min="1" max="1" width="19" customWidth="1"/>
    <col min="2" max="2" width="13.81640625" customWidth="1"/>
    <col min="3" max="3" width="11.54296875" customWidth="1"/>
    <col min="4" max="4" width="6.7265625" customWidth="1"/>
    <col min="5" max="5" width="6.54296875" customWidth="1"/>
    <col min="6" max="6" width="11.453125" customWidth="1"/>
    <col min="7" max="7" width="13.453125" bestFit="1" customWidth="1"/>
    <col min="8" max="10" width="9.26953125" bestFit="1" customWidth="1"/>
    <col min="11" max="11" width="15.1796875" bestFit="1" customWidth="1"/>
  </cols>
  <sheetData>
    <row r="2" spans="1:11">
      <c r="A2" s="816" t="s">
        <v>490</v>
      </c>
      <c r="B2" s="816"/>
      <c r="C2" s="816"/>
      <c r="D2" s="816"/>
      <c r="E2" s="816"/>
      <c r="F2" s="816"/>
      <c r="G2" s="816"/>
      <c r="H2" s="816"/>
      <c r="I2" s="816"/>
      <c r="J2" s="816"/>
      <c r="K2" s="816"/>
    </row>
    <row r="3" spans="1:11" s="307" customFormat="1" ht="29">
      <c r="A3" s="474" t="s">
        <v>469</v>
      </c>
      <c r="B3" s="474" t="s">
        <v>17</v>
      </c>
      <c r="C3" s="478" t="s">
        <v>475</v>
      </c>
      <c r="D3" s="478" t="s">
        <v>21</v>
      </c>
      <c r="E3" s="478" t="s">
        <v>474</v>
      </c>
      <c r="F3" s="478" t="s">
        <v>472</v>
      </c>
      <c r="G3" s="478" t="s">
        <v>473</v>
      </c>
      <c r="H3" s="474" t="s">
        <v>152</v>
      </c>
      <c r="I3" s="474" t="s">
        <v>153</v>
      </c>
      <c r="J3" s="474" t="s">
        <v>355</v>
      </c>
      <c r="K3" s="474" t="s">
        <v>193</v>
      </c>
    </row>
    <row r="4" spans="1:11">
      <c r="A4" s="474" t="s">
        <v>29</v>
      </c>
      <c r="B4" s="477">
        <v>12910.65</v>
      </c>
      <c r="C4" s="262"/>
      <c r="D4" s="474">
        <v>1000</v>
      </c>
      <c r="E4" s="303"/>
      <c r="F4" s="479">
        <f>B4*0.07</f>
        <v>903.74550000000011</v>
      </c>
      <c r="G4" s="479">
        <f>B4*0.11</f>
        <v>1420.1714999999999</v>
      </c>
      <c r="H4" s="303"/>
      <c r="I4" s="303"/>
      <c r="J4" s="303"/>
      <c r="K4" s="479">
        <f>B4-F4-G4</f>
        <v>10586.732999999998</v>
      </c>
    </row>
    <row r="5" spans="1:11">
      <c r="A5" s="474" t="s">
        <v>31</v>
      </c>
      <c r="B5" s="477">
        <v>13182.13</v>
      </c>
      <c r="C5" s="262"/>
      <c r="D5" s="474">
        <v>1000</v>
      </c>
      <c r="E5" s="303"/>
      <c r="F5" s="479">
        <f t="shared" ref="F5:F68" si="0">B5*0.07</f>
        <v>922.7491</v>
      </c>
      <c r="G5" s="479">
        <f>B5*0.11</f>
        <v>1450.0343</v>
      </c>
      <c r="H5" s="303"/>
      <c r="I5" s="303"/>
      <c r="J5" s="303"/>
      <c r="K5" s="479">
        <f t="shared" ref="K5:K68" si="1">B5-F5-G5</f>
        <v>10809.346600000001</v>
      </c>
    </row>
    <row r="6" spans="1:11">
      <c r="A6" s="474" t="s">
        <v>32</v>
      </c>
      <c r="B6" s="477">
        <v>15274.86</v>
      </c>
      <c r="C6" s="261"/>
      <c r="D6" s="474"/>
      <c r="E6" s="303"/>
      <c r="F6" s="479">
        <f t="shared" si="0"/>
        <v>1069.2402000000002</v>
      </c>
      <c r="G6" s="479">
        <f t="shared" ref="G6:G69" si="2">B6*0.11</f>
        <v>1680.2346</v>
      </c>
      <c r="H6" s="303"/>
      <c r="I6" s="303"/>
      <c r="J6" s="303"/>
      <c r="K6" s="479">
        <f t="shared" si="1"/>
        <v>12525.385200000001</v>
      </c>
    </row>
    <row r="7" spans="1:11">
      <c r="A7" s="474" t="s">
        <v>33</v>
      </c>
      <c r="B7" s="477">
        <v>13477</v>
      </c>
      <c r="C7" s="261"/>
      <c r="D7" s="474"/>
      <c r="E7" s="303"/>
      <c r="F7" s="479">
        <f t="shared" si="0"/>
        <v>943.3900000000001</v>
      </c>
      <c r="G7" s="479">
        <f t="shared" si="2"/>
        <v>1482.47</v>
      </c>
      <c r="H7" s="303"/>
      <c r="I7" s="303"/>
      <c r="J7" s="303"/>
      <c r="K7" s="479">
        <f t="shared" si="1"/>
        <v>11051.140000000001</v>
      </c>
    </row>
    <row r="8" spans="1:11">
      <c r="A8" s="474" t="s">
        <v>35</v>
      </c>
      <c r="B8" s="477">
        <v>13489.3</v>
      </c>
      <c r="C8" s="261"/>
      <c r="D8" s="474"/>
      <c r="E8" s="303"/>
      <c r="F8" s="479">
        <f t="shared" si="0"/>
        <v>944.25100000000009</v>
      </c>
      <c r="G8" s="479">
        <f t="shared" si="2"/>
        <v>1483.8229999999999</v>
      </c>
      <c r="H8" s="303"/>
      <c r="I8" s="303"/>
      <c r="J8" s="303"/>
      <c r="K8" s="479">
        <f t="shared" si="1"/>
        <v>11061.225999999999</v>
      </c>
    </row>
    <row r="9" spans="1:11">
      <c r="A9" s="474" t="s">
        <v>36</v>
      </c>
      <c r="B9" s="477">
        <v>17210</v>
      </c>
      <c r="C9" s="261"/>
      <c r="D9" s="474">
        <v>1000</v>
      </c>
      <c r="E9" s="303"/>
      <c r="F9" s="479">
        <f t="shared" si="0"/>
        <v>1204.7</v>
      </c>
      <c r="G9" s="479">
        <f t="shared" si="2"/>
        <v>1893.1</v>
      </c>
      <c r="H9" s="303"/>
      <c r="I9" s="303"/>
      <c r="J9" s="303"/>
      <c r="K9" s="479">
        <f t="shared" si="1"/>
        <v>14112.199999999999</v>
      </c>
    </row>
    <row r="10" spans="1:11">
      <c r="A10" s="474" t="s">
        <v>37</v>
      </c>
      <c r="B10" s="477">
        <v>12978.21</v>
      </c>
      <c r="C10" s="261"/>
      <c r="D10" s="474"/>
      <c r="E10" s="303"/>
      <c r="F10" s="479">
        <f t="shared" si="0"/>
        <v>908.47469999999998</v>
      </c>
      <c r="G10" s="479">
        <f t="shared" si="2"/>
        <v>1427.6030999999998</v>
      </c>
      <c r="H10" s="303"/>
      <c r="I10" s="303"/>
      <c r="J10" s="303"/>
      <c r="K10" s="479">
        <f t="shared" si="1"/>
        <v>10642.132199999998</v>
      </c>
    </row>
    <row r="11" spans="1:11">
      <c r="A11" s="474" t="s">
        <v>38</v>
      </c>
      <c r="B11" s="477">
        <v>16015.97</v>
      </c>
      <c r="C11" s="261"/>
      <c r="D11" s="474">
        <v>1000</v>
      </c>
      <c r="E11" s="303"/>
      <c r="F11" s="479">
        <f t="shared" si="0"/>
        <v>1121.1179</v>
      </c>
      <c r="G11" s="479">
        <f t="shared" si="2"/>
        <v>1761.7566999999999</v>
      </c>
      <c r="H11" s="303"/>
      <c r="I11" s="303"/>
      <c r="J11" s="303"/>
      <c r="K11" s="479">
        <f t="shared" si="1"/>
        <v>13133.0954</v>
      </c>
    </row>
    <row r="12" spans="1:11">
      <c r="A12" s="474" t="s">
        <v>39</v>
      </c>
      <c r="B12" s="477">
        <v>13278.21</v>
      </c>
      <c r="C12" s="261"/>
      <c r="D12" s="474"/>
      <c r="E12" s="303"/>
      <c r="F12" s="479">
        <f t="shared" si="0"/>
        <v>929.47469999999998</v>
      </c>
      <c r="G12" s="479">
        <f t="shared" si="2"/>
        <v>1460.6030999999998</v>
      </c>
      <c r="H12" s="303"/>
      <c r="I12" s="303"/>
      <c r="J12" s="303"/>
      <c r="K12" s="479">
        <f t="shared" si="1"/>
        <v>10888.132199999998</v>
      </c>
    </row>
    <row r="13" spans="1:11">
      <c r="A13" s="474" t="s">
        <v>40</v>
      </c>
      <c r="B13" s="477">
        <v>21329</v>
      </c>
      <c r="C13" s="261"/>
      <c r="D13" s="474">
        <v>1000</v>
      </c>
      <c r="E13" s="303"/>
      <c r="F13" s="479">
        <f t="shared" si="0"/>
        <v>1493.0300000000002</v>
      </c>
      <c r="G13" s="479">
        <f t="shared" si="2"/>
        <v>2346.19</v>
      </c>
      <c r="H13" s="303"/>
      <c r="I13" s="303"/>
      <c r="J13" s="303"/>
      <c r="K13" s="479">
        <f t="shared" si="1"/>
        <v>17489.780000000002</v>
      </c>
    </row>
    <row r="14" spans="1:11">
      <c r="A14" s="474" t="s">
        <v>41</v>
      </c>
      <c r="B14" s="477">
        <v>13305.77</v>
      </c>
      <c r="C14" s="261"/>
      <c r="D14" s="474"/>
      <c r="E14" s="303"/>
      <c r="F14" s="479">
        <f t="shared" si="0"/>
        <v>931.40390000000014</v>
      </c>
      <c r="G14" s="479">
        <f t="shared" si="2"/>
        <v>1463.6347000000001</v>
      </c>
      <c r="H14" s="303"/>
      <c r="I14" s="303"/>
      <c r="J14" s="303"/>
      <c r="K14" s="479">
        <f t="shared" si="1"/>
        <v>10910.731400000001</v>
      </c>
    </row>
    <row r="15" spans="1:11">
      <c r="A15" s="474" t="s">
        <v>42</v>
      </c>
      <c r="B15" s="477">
        <v>9880.2999999999993</v>
      </c>
      <c r="C15" s="261"/>
      <c r="D15" s="474"/>
      <c r="E15" s="303"/>
      <c r="F15" s="479">
        <f t="shared" si="0"/>
        <v>691.62099999999998</v>
      </c>
      <c r="G15" s="479">
        <f t="shared" si="2"/>
        <v>1086.8329999999999</v>
      </c>
      <c r="H15" s="303"/>
      <c r="I15" s="303"/>
      <c r="J15" s="303"/>
      <c r="K15" s="479">
        <f t="shared" si="1"/>
        <v>8101.8460000000005</v>
      </c>
    </row>
    <row r="16" spans="1:11">
      <c r="A16" s="474" t="s">
        <v>43</v>
      </c>
      <c r="B16" s="477">
        <v>13404.59</v>
      </c>
      <c r="C16" s="261"/>
      <c r="D16" s="474"/>
      <c r="E16" s="303"/>
      <c r="F16" s="479">
        <f t="shared" si="0"/>
        <v>938.32130000000006</v>
      </c>
      <c r="G16" s="479">
        <f t="shared" si="2"/>
        <v>1474.5049000000001</v>
      </c>
      <c r="H16" s="303"/>
      <c r="I16" s="303"/>
      <c r="J16" s="303"/>
      <c r="K16" s="479">
        <f t="shared" si="1"/>
        <v>10991.763800000001</v>
      </c>
    </row>
    <row r="17" spans="1:11">
      <c r="A17" s="474" t="s">
        <v>44</v>
      </c>
      <c r="B17" s="477">
        <v>10330.18</v>
      </c>
      <c r="C17" s="261"/>
      <c r="D17" s="474"/>
      <c r="E17" s="303"/>
      <c r="F17" s="479">
        <f t="shared" si="0"/>
        <v>723.11260000000004</v>
      </c>
      <c r="G17" s="479">
        <f t="shared" si="2"/>
        <v>1136.3198</v>
      </c>
      <c r="H17" s="303"/>
      <c r="I17" s="303"/>
      <c r="J17" s="303"/>
      <c r="K17" s="479">
        <f t="shared" si="1"/>
        <v>8470.7476000000006</v>
      </c>
    </row>
    <row r="18" spans="1:11">
      <c r="A18" s="474" t="s">
        <v>45</v>
      </c>
      <c r="B18" s="477">
        <v>12810.18</v>
      </c>
      <c r="C18" s="262"/>
      <c r="D18" s="474"/>
      <c r="E18" s="480">
        <v>1500</v>
      </c>
      <c r="F18" s="479">
        <f t="shared" si="0"/>
        <v>896.71260000000007</v>
      </c>
      <c r="G18" s="479">
        <f t="shared" si="2"/>
        <v>1409.1197999999999</v>
      </c>
      <c r="H18" s="303"/>
      <c r="I18" s="303"/>
      <c r="J18" s="303"/>
      <c r="K18" s="479">
        <f t="shared" si="1"/>
        <v>10504.347599999999</v>
      </c>
    </row>
    <row r="19" spans="1:11">
      <c r="A19" s="474" t="s">
        <v>46</v>
      </c>
      <c r="B19" s="477">
        <v>10030</v>
      </c>
      <c r="C19" s="262"/>
      <c r="D19" s="474"/>
      <c r="E19" s="303"/>
      <c r="F19" s="479">
        <f t="shared" si="0"/>
        <v>702.1</v>
      </c>
      <c r="G19" s="479">
        <f t="shared" si="2"/>
        <v>1103.3</v>
      </c>
      <c r="H19" s="303"/>
      <c r="I19" s="303"/>
      <c r="J19" s="303"/>
      <c r="K19" s="479">
        <f t="shared" si="1"/>
        <v>8224.6</v>
      </c>
    </row>
    <row r="20" spans="1:11">
      <c r="A20" s="474" t="s">
        <v>47</v>
      </c>
      <c r="B20" s="477">
        <v>9618.89</v>
      </c>
      <c r="C20" s="262"/>
      <c r="D20" s="474"/>
      <c r="E20" s="303"/>
      <c r="F20" s="479">
        <f t="shared" si="0"/>
        <v>673.32230000000004</v>
      </c>
      <c r="G20" s="479">
        <f t="shared" si="2"/>
        <v>1058.0779</v>
      </c>
      <c r="H20" s="303"/>
      <c r="I20" s="303"/>
      <c r="J20" s="303"/>
      <c r="K20" s="479">
        <f t="shared" si="1"/>
        <v>7887.4897999999994</v>
      </c>
    </row>
    <row r="21" spans="1:11">
      <c r="A21" s="474" t="s">
        <v>48</v>
      </c>
      <c r="B21" s="477">
        <v>9002</v>
      </c>
      <c r="C21" s="261"/>
      <c r="D21" s="474"/>
      <c r="E21" s="303"/>
      <c r="F21" s="479">
        <f t="shared" si="0"/>
        <v>630.1400000000001</v>
      </c>
      <c r="G21" s="479">
        <f t="shared" si="2"/>
        <v>990.22</v>
      </c>
      <c r="H21" s="303"/>
      <c r="I21" s="303"/>
      <c r="J21" s="303"/>
      <c r="K21" s="479">
        <f t="shared" si="1"/>
        <v>7381.64</v>
      </c>
    </row>
    <row r="22" spans="1:11">
      <c r="A22" s="474" t="s">
        <v>49</v>
      </c>
      <c r="B22" s="477">
        <v>11822</v>
      </c>
      <c r="C22" s="262"/>
      <c r="D22" s="474"/>
      <c r="E22" s="303"/>
      <c r="F22" s="479">
        <f t="shared" si="0"/>
        <v>827.54000000000008</v>
      </c>
      <c r="G22" s="479">
        <f t="shared" si="2"/>
        <v>1300.42</v>
      </c>
      <c r="H22" s="303"/>
      <c r="I22" s="303"/>
      <c r="J22" s="303"/>
      <c r="K22" s="479">
        <f t="shared" si="1"/>
        <v>9694.0399999999991</v>
      </c>
    </row>
    <row r="23" spans="1:11">
      <c r="A23" s="474" t="s">
        <v>50</v>
      </c>
      <c r="B23" s="477">
        <v>11203.04</v>
      </c>
      <c r="C23" s="261"/>
      <c r="D23" s="474">
        <v>1000</v>
      </c>
      <c r="E23" s="303"/>
      <c r="F23" s="479">
        <f t="shared" si="0"/>
        <v>784.21280000000013</v>
      </c>
      <c r="G23" s="479">
        <f t="shared" si="2"/>
        <v>1232.3344000000002</v>
      </c>
      <c r="H23" s="303"/>
      <c r="I23" s="303"/>
      <c r="J23" s="303"/>
      <c r="K23" s="479">
        <f t="shared" si="1"/>
        <v>9186.4928000000018</v>
      </c>
    </row>
    <row r="24" spans="1:11">
      <c r="A24" s="474" t="s">
        <v>51</v>
      </c>
      <c r="B24" s="477">
        <v>9002</v>
      </c>
      <c r="C24" s="262"/>
      <c r="D24" s="474"/>
      <c r="E24" s="303"/>
      <c r="F24" s="479">
        <f t="shared" si="0"/>
        <v>630.1400000000001</v>
      </c>
      <c r="G24" s="479">
        <f t="shared" si="2"/>
        <v>990.22</v>
      </c>
      <c r="H24" s="303"/>
      <c r="I24" s="303"/>
      <c r="J24" s="303"/>
      <c r="K24" s="479">
        <f t="shared" si="1"/>
        <v>7381.64</v>
      </c>
    </row>
    <row r="25" spans="1:11">
      <c r="A25" s="474" t="s">
        <v>52</v>
      </c>
      <c r="B25" s="477">
        <v>10825.57</v>
      </c>
      <c r="C25" s="337"/>
      <c r="D25" s="474"/>
      <c r="E25" s="303"/>
      <c r="F25" s="479">
        <f t="shared" si="0"/>
        <v>757.7899000000001</v>
      </c>
      <c r="G25" s="479">
        <f t="shared" si="2"/>
        <v>1190.8126999999999</v>
      </c>
      <c r="H25" s="303"/>
      <c r="I25" s="303"/>
      <c r="J25" s="303"/>
      <c r="K25" s="479">
        <f t="shared" si="1"/>
        <v>8876.9673999999995</v>
      </c>
    </row>
    <row r="26" spans="1:11">
      <c r="A26" s="474" t="s">
        <v>53</v>
      </c>
      <c r="B26" s="477">
        <v>9002</v>
      </c>
      <c r="C26" s="262"/>
      <c r="D26" s="474"/>
      <c r="E26" s="303"/>
      <c r="F26" s="479">
        <f t="shared" si="0"/>
        <v>630.1400000000001</v>
      </c>
      <c r="G26" s="479">
        <f t="shared" si="2"/>
        <v>990.22</v>
      </c>
      <c r="H26" s="303"/>
      <c r="I26" s="303"/>
      <c r="J26" s="303"/>
      <c r="K26" s="479">
        <f t="shared" si="1"/>
        <v>7381.64</v>
      </c>
    </row>
    <row r="27" spans="1:11">
      <c r="A27" s="474" t="s">
        <v>367</v>
      </c>
      <c r="B27" s="477">
        <v>13642.4</v>
      </c>
      <c r="C27" s="261"/>
      <c r="D27" s="474"/>
      <c r="E27" s="303"/>
      <c r="F27" s="479">
        <f t="shared" si="0"/>
        <v>954.96800000000007</v>
      </c>
      <c r="G27" s="479">
        <f t="shared" si="2"/>
        <v>1500.664</v>
      </c>
      <c r="H27" s="303"/>
      <c r="I27" s="303"/>
      <c r="J27" s="303"/>
      <c r="K27" s="479">
        <f t="shared" si="1"/>
        <v>11186.767999999998</v>
      </c>
    </row>
    <row r="28" spans="1:11">
      <c r="A28" s="474" t="s">
        <v>54</v>
      </c>
      <c r="B28" s="477">
        <v>9002</v>
      </c>
      <c r="C28" s="261"/>
      <c r="D28" s="474"/>
      <c r="E28" s="303"/>
      <c r="F28" s="479">
        <f t="shared" si="0"/>
        <v>630.1400000000001</v>
      </c>
      <c r="G28" s="479">
        <f t="shared" si="2"/>
        <v>990.22</v>
      </c>
      <c r="H28" s="303"/>
      <c r="I28" s="303"/>
      <c r="J28" s="303"/>
      <c r="K28" s="479">
        <f t="shared" si="1"/>
        <v>7381.64</v>
      </c>
    </row>
    <row r="29" spans="1:11">
      <c r="A29" s="474" t="s">
        <v>55</v>
      </c>
      <c r="B29" s="477">
        <v>9000</v>
      </c>
      <c r="C29" s="261"/>
      <c r="D29" s="474"/>
      <c r="E29" s="303"/>
      <c r="F29" s="479">
        <f t="shared" si="0"/>
        <v>630.00000000000011</v>
      </c>
      <c r="G29" s="479">
        <f t="shared" si="2"/>
        <v>990</v>
      </c>
      <c r="H29" s="303"/>
      <c r="I29" s="303"/>
      <c r="J29" s="303"/>
      <c r="K29" s="479">
        <f t="shared" si="1"/>
        <v>7380</v>
      </c>
    </row>
    <row r="30" spans="1:11">
      <c r="A30" s="474" t="s">
        <v>56</v>
      </c>
      <c r="B30" s="477">
        <v>13000</v>
      </c>
      <c r="C30" s="261"/>
      <c r="D30" s="474"/>
      <c r="E30" s="303"/>
      <c r="F30" s="479">
        <f t="shared" si="0"/>
        <v>910.00000000000011</v>
      </c>
      <c r="G30" s="479">
        <f t="shared" si="2"/>
        <v>1430</v>
      </c>
      <c r="H30" s="303"/>
      <c r="I30" s="303"/>
      <c r="J30" s="303"/>
      <c r="K30" s="479">
        <f t="shared" si="1"/>
        <v>10660</v>
      </c>
    </row>
    <row r="31" spans="1:11">
      <c r="A31" s="474" t="s">
        <v>57</v>
      </c>
      <c r="B31" s="477">
        <v>10500</v>
      </c>
      <c r="C31" s="476">
        <v>2000</v>
      </c>
      <c r="D31" s="474"/>
      <c r="E31" s="303"/>
      <c r="F31" s="479">
        <f t="shared" si="0"/>
        <v>735.00000000000011</v>
      </c>
      <c r="G31" s="479">
        <f t="shared" si="2"/>
        <v>1155</v>
      </c>
      <c r="H31" s="303"/>
      <c r="I31" s="303"/>
      <c r="J31" s="303"/>
      <c r="K31" s="479">
        <f t="shared" si="1"/>
        <v>8610</v>
      </c>
    </row>
    <row r="32" spans="1:11">
      <c r="A32" s="474" t="s">
        <v>59</v>
      </c>
      <c r="B32" s="477">
        <v>9200</v>
      </c>
      <c r="C32" s="261"/>
      <c r="D32" s="474"/>
      <c r="E32" s="303"/>
      <c r="F32" s="479">
        <f t="shared" si="0"/>
        <v>644.00000000000011</v>
      </c>
      <c r="G32" s="479">
        <f t="shared" si="2"/>
        <v>1012</v>
      </c>
      <c r="H32" s="303"/>
      <c r="I32" s="303"/>
      <c r="J32" s="303"/>
      <c r="K32" s="479">
        <f t="shared" si="1"/>
        <v>7544</v>
      </c>
    </row>
    <row r="33" spans="1:11">
      <c r="A33" s="474" t="s">
        <v>347</v>
      </c>
      <c r="B33" s="477">
        <v>10000</v>
      </c>
      <c r="C33" s="337"/>
      <c r="D33" s="474"/>
      <c r="E33" s="303"/>
      <c r="F33" s="479">
        <f t="shared" si="0"/>
        <v>700.00000000000011</v>
      </c>
      <c r="G33" s="479">
        <f t="shared" si="2"/>
        <v>1100</v>
      </c>
      <c r="H33" s="303"/>
      <c r="I33" s="303"/>
      <c r="J33" s="303"/>
      <c r="K33" s="479">
        <f t="shared" si="1"/>
        <v>8200</v>
      </c>
    </row>
    <row r="34" spans="1:11">
      <c r="A34" s="474" t="s">
        <v>358</v>
      </c>
      <c r="B34" s="477">
        <v>12500</v>
      </c>
      <c r="C34" s="262"/>
      <c r="D34" s="474"/>
      <c r="E34" s="303"/>
      <c r="F34" s="479">
        <f t="shared" si="0"/>
        <v>875.00000000000011</v>
      </c>
      <c r="G34" s="479">
        <f t="shared" si="2"/>
        <v>1375</v>
      </c>
      <c r="H34" s="303"/>
      <c r="I34" s="303"/>
      <c r="J34" s="303"/>
      <c r="K34" s="479">
        <f t="shared" si="1"/>
        <v>10250</v>
      </c>
    </row>
    <row r="35" spans="1:11">
      <c r="A35" s="474" t="s">
        <v>62</v>
      </c>
      <c r="B35" s="477">
        <v>9000</v>
      </c>
      <c r="C35" s="262"/>
      <c r="D35" s="474"/>
      <c r="E35" s="303"/>
      <c r="F35" s="479">
        <f t="shared" si="0"/>
        <v>630.00000000000011</v>
      </c>
      <c r="G35" s="479">
        <f t="shared" si="2"/>
        <v>990</v>
      </c>
      <c r="H35" s="303"/>
      <c r="I35" s="303"/>
      <c r="J35" s="303"/>
      <c r="K35" s="479">
        <f t="shared" si="1"/>
        <v>7380</v>
      </c>
    </row>
    <row r="36" spans="1:11">
      <c r="A36" s="474" t="s">
        <v>348</v>
      </c>
      <c r="B36" s="477">
        <v>14000</v>
      </c>
      <c r="C36" s="261"/>
      <c r="D36" s="474"/>
      <c r="E36" s="303"/>
      <c r="F36" s="479">
        <f t="shared" si="0"/>
        <v>980.00000000000011</v>
      </c>
      <c r="G36" s="479">
        <f t="shared" si="2"/>
        <v>1540</v>
      </c>
      <c r="H36" s="303"/>
      <c r="I36" s="303"/>
      <c r="J36" s="303"/>
      <c r="K36" s="479">
        <f t="shared" si="1"/>
        <v>11480</v>
      </c>
    </row>
    <row r="37" spans="1:11">
      <c r="A37" s="474" t="s">
        <v>64</v>
      </c>
      <c r="B37" s="477">
        <v>14478</v>
      </c>
      <c r="C37" s="261"/>
      <c r="D37" s="474"/>
      <c r="E37" s="303"/>
      <c r="F37" s="479">
        <f t="shared" si="0"/>
        <v>1013.4600000000002</v>
      </c>
      <c r="G37" s="479">
        <f t="shared" si="2"/>
        <v>1592.58</v>
      </c>
      <c r="H37" s="303"/>
      <c r="I37" s="303"/>
      <c r="J37" s="303"/>
      <c r="K37" s="479">
        <f t="shared" si="1"/>
        <v>11871.96</v>
      </c>
    </row>
    <row r="38" spans="1:11">
      <c r="A38" s="474" t="s">
        <v>65</v>
      </c>
      <c r="B38" s="477">
        <v>10500</v>
      </c>
      <c r="C38" s="261"/>
      <c r="D38" s="474"/>
      <c r="E38" s="303"/>
      <c r="F38" s="479">
        <f t="shared" si="0"/>
        <v>735.00000000000011</v>
      </c>
      <c r="G38" s="479">
        <f t="shared" si="2"/>
        <v>1155</v>
      </c>
      <c r="H38" s="303"/>
      <c r="I38" s="303"/>
      <c r="J38" s="303"/>
      <c r="K38" s="479">
        <f t="shared" si="1"/>
        <v>8610</v>
      </c>
    </row>
    <row r="39" spans="1:11">
      <c r="A39" s="474" t="s">
        <v>66</v>
      </c>
      <c r="B39" s="477">
        <v>11500</v>
      </c>
      <c r="C39" s="262"/>
      <c r="D39" s="474"/>
      <c r="E39" s="303"/>
      <c r="F39" s="479">
        <f t="shared" si="0"/>
        <v>805.00000000000011</v>
      </c>
      <c r="G39" s="479">
        <f t="shared" si="2"/>
        <v>1265</v>
      </c>
      <c r="H39" s="303"/>
      <c r="I39" s="303"/>
      <c r="J39" s="303"/>
      <c r="K39" s="479">
        <f t="shared" si="1"/>
        <v>9430</v>
      </c>
    </row>
    <row r="40" spans="1:11">
      <c r="A40" s="474" t="s">
        <v>67</v>
      </c>
      <c r="B40" s="477">
        <v>7500</v>
      </c>
      <c r="C40" s="261"/>
      <c r="D40" s="474"/>
      <c r="E40" s="303"/>
      <c r="F40" s="479">
        <f t="shared" si="0"/>
        <v>525</v>
      </c>
      <c r="G40" s="479">
        <f t="shared" si="2"/>
        <v>825</v>
      </c>
      <c r="H40" s="303"/>
      <c r="I40" s="303"/>
      <c r="J40" s="303"/>
      <c r="K40" s="479">
        <f t="shared" si="1"/>
        <v>6150</v>
      </c>
    </row>
    <row r="41" spans="1:11">
      <c r="A41" s="474" t="s">
        <v>68</v>
      </c>
      <c r="B41" s="477">
        <v>11000</v>
      </c>
      <c r="C41" s="261"/>
      <c r="D41" s="474"/>
      <c r="E41" s="303"/>
      <c r="F41" s="479">
        <f t="shared" si="0"/>
        <v>770.00000000000011</v>
      </c>
      <c r="G41" s="479">
        <f t="shared" si="2"/>
        <v>1210</v>
      </c>
      <c r="H41" s="303"/>
      <c r="I41" s="303"/>
      <c r="J41" s="303"/>
      <c r="K41" s="479">
        <f t="shared" si="1"/>
        <v>9020</v>
      </c>
    </row>
    <row r="42" spans="1:11">
      <c r="A42" s="474" t="s">
        <v>189</v>
      </c>
      <c r="B42" s="477">
        <v>10100</v>
      </c>
      <c r="C42" s="261"/>
      <c r="D42" s="474"/>
      <c r="E42" s="303"/>
      <c r="F42" s="479">
        <f t="shared" si="0"/>
        <v>707.00000000000011</v>
      </c>
      <c r="G42" s="479">
        <f t="shared" si="2"/>
        <v>1111</v>
      </c>
      <c r="H42" s="303"/>
      <c r="I42" s="303"/>
      <c r="J42" s="303"/>
      <c r="K42" s="479">
        <f t="shared" si="1"/>
        <v>8282</v>
      </c>
    </row>
    <row r="43" spans="1:11">
      <c r="A43" s="474" t="s">
        <v>190</v>
      </c>
      <c r="B43" s="477">
        <v>12500</v>
      </c>
      <c r="C43" s="262"/>
      <c r="D43" s="474"/>
      <c r="E43" s="303"/>
      <c r="F43" s="479">
        <f t="shared" si="0"/>
        <v>875.00000000000011</v>
      </c>
      <c r="G43" s="479">
        <f t="shared" si="2"/>
        <v>1375</v>
      </c>
      <c r="H43" s="303"/>
      <c r="I43" s="303"/>
      <c r="J43" s="303"/>
      <c r="K43" s="479">
        <f t="shared" si="1"/>
        <v>10250</v>
      </c>
    </row>
    <row r="44" spans="1:11">
      <c r="A44" s="474" t="s">
        <v>243</v>
      </c>
      <c r="B44" s="477">
        <v>11000</v>
      </c>
      <c r="C44" s="261">
        <v>600</v>
      </c>
      <c r="D44" s="474"/>
      <c r="E44" s="303"/>
      <c r="F44" s="479">
        <f t="shared" si="0"/>
        <v>770.00000000000011</v>
      </c>
      <c r="G44" s="479">
        <f t="shared" si="2"/>
        <v>1210</v>
      </c>
      <c r="H44" s="303"/>
      <c r="I44" s="303"/>
      <c r="J44" s="303"/>
      <c r="K44" s="479">
        <f t="shared" si="1"/>
        <v>9020</v>
      </c>
    </row>
    <row r="45" spans="1:11">
      <c r="A45" s="474" t="s">
        <v>244</v>
      </c>
      <c r="B45" s="477">
        <v>11000</v>
      </c>
      <c r="C45" s="261">
        <v>600</v>
      </c>
      <c r="D45" s="474"/>
      <c r="E45" s="303"/>
      <c r="F45" s="479">
        <f t="shared" si="0"/>
        <v>770.00000000000011</v>
      </c>
      <c r="G45" s="479">
        <f t="shared" si="2"/>
        <v>1210</v>
      </c>
      <c r="H45" s="303"/>
      <c r="I45" s="303"/>
      <c r="J45" s="303"/>
      <c r="K45" s="479">
        <f t="shared" si="1"/>
        <v>9020</v>
      </c>
    </row>
    <row r="46" spans="1:11">
      <c r="A46" s="474" t="s">
        <v>245</v>
      </c>
      <c r="B46" s="477">
        <v>14400</v>
      </c>
      <c r="C46" s="261">
        <v>600</v>
      </c>
      <c r="D46" s="474"/>
      <c r="E46" s="303"/>
      <c r="F46" s="479">
        <f t="shared" si="0"/>
        <v>1008.0000000000001</v>
      </c>
      <c r="G46" s="479">
        <f t="shared" si="2"/>
        <v>1584</v>
      </c>
      <c r="H46" s="303"/>
      <c r="I46" s="303"/>
      <c r="J46" s="303"/>
      <c r="K46" s="479">
        <f t="shared" si="1"/>
        <v>11808</v>
      </c>
    </row>
    <row r="47" spans="1:11">
      <c r="A47" s="474" t="s">
        <v>246</v>
      </c>
      <c r="B47" s="477">
        <v>14400</v>
      </c>
      <c r="C47" s="261">
        <v>600</v>
      </c>
      <c r="D47" s="474"/>
      <c r="E47" s="303"/>
      <c r="F47" s="479">
        <f t="shared" si="0"/>
        <v>1008.0000000000001</v>
      </c>
      <c r="G47" s="479">
        <f t="shared" si="2"/>
        <v>1584</v>
      </c>
      <c r="H47" s="303"/>
      <c r="I47" s="303"/>
      <c r="J47" s="303"/>
      <c r="K47" s="479">
        <f t="shared" si="1"/>
        <v>11808</v>
      </c>
    </row>
    <row r="48" spans="1:11">
      <c r="A48" s="474" t="s">
        <v>247</v>
      </c>
      <c r="B48" s="477">
        <v>11000</v>
      </c>
      <c r="C48" s="261">
        <v>600</v>
      </c>
      <c r="D48" s="474"/>
      <c r="E48" s="303"/>
      <c r="F48" s="479">
        <f t="shared" si="0"/>
        <v>770.00000000000011</v>
      </c>
      <c r="G48" s="479">
        <f t="shared" si="2"/>
        <v>1210</v>
      </c>
      <c r="H48" s="303"/>
      <c r="I48" s="303"/>
      <c r="J48" s="303"/>
      <c r="K48" s="479">
        <f t="shared" si="1"/>
        <v>9020</v>
      </c>
    </row>
    <row r="49" spans="1:11">
      <c r="A49" s="474" t="s">
        <v>248</v>
      </c>
      <c r="B49" s="477">
        <v>11000</v>
      </c>
      <c r="C49" s="261">
        <v>600</v>
      </c>
      <c r="D49" s="474"/>
      <c r="E49" s="303"/>
      <c r="F49" s="479">
        <f t="shared" si="0"/>
        <v>770.00000000000011</v>
      </c>
      <c r="G49" s="479">
        <f t="shared" si="2"/>
        <v>1210</v>
      </c>
      <c r="H49" s="303"/>
      <c r="I49" s="303"/>
      <c r="J49" s="303"/>
      <c r="K49" s="479">
        <f t="shared" si="1"/>
        <v>9020</v>
      </c>
    </row>
    <row r="50" spans="1:11">
      <c r="A50" s="474" t="s">
        <v>444</v>
      </c>
      <c r="B50" s="477">
        <v>11000</v>
      </c>
      <c r="C50" s="261">
        <v>600</v>
      </c>
      <c r="D50" s="474"/>
      <c r="E50" s="303"/>
      <c r="F50" s="479">
        <f t="shared" si="0"/>
        <v>770.00000000000011</v>
      </c>
      <c r="G50" s="479">
        <f t="shared" si="2"/>
        <v>1210</v>
      </c>
      <c r="H50" s="303"/>
      <c r="I50" s="303"/>
      <c r="J50" s="303"/>
      <c r="K50" s="479">
        <f t="shared" si="1"/>
        <v>9020</v>
      </c>
    </row>
    <row r="51" spans="1:11">
      <c r="A51" s="474" t="s">
        <v>249</v>
      </c>
      <c r="B51" s="477">
        <v>11000</v>
      </c>
      <c r="C51" s="261">
        <v>600</v>
      </c>
      <c r="D51" s="474"/>
      <c r="E51" s="303"/>
      <c r="F51" s="479">
        <f t="shared" si="0"/>
        <v>770.00000000000011</v>
      </c>
      <c r="G51" s="479">
        <f t="shared" si="2"/>
        <v>1210</v>
      </c>
      <c r="H51" s="303"/>
      <c r="I51" s="303"/>
      <c r="J51" s="303"/>
      <c r="K51" s="479">
        <f t="shared" si="1"/>
        <v>9020</v>
      </c>
    </row>
    <row r="52" spans="1:11">
      <c r="A52" s="474" t="s">
        <v>344</v>
      </c>
      <c r="B52" s="477">
        <v>11000</v>
      </c>
      <c r="C52" s="261">
        <v>600</v>
      </c>
      <c r="D52" s="474"/>
      <c r="E52" s="303"/>
      <c r="F52" s="479">
        <f t="shared" si="0"/>
        <v>770.00000000000011</v>
      </c>
      <c r="G52" s="479">
        <f t="shared" si="2"/>
        <v>1210</v>
      </c>
      <c r="H52" s="303"/>
      <c r="I52" s="303"/>
      <c r="J52" s="303"/>
      <c r="K52" s="479">
        <f t="shared" si="1"/>
        <v>9020</v>
      </c>
    </row>
    <row r="53" spans="1:11">
      <c r="A53" s="474" t="s">
        <v>345</v>
      </c>
      <c r="B53" s="477">
        <v>11000</v>
      </c>
      <c r="C53" s="261">
        <v>600</v>
      </c>
      <c r="D53" s="474"/>
      <c r="E53" s="303"/>
      <c r="F53" s="479">
        <f t="shared" si="0"/>
        <v>770.00000000000011</v>
      </c>
      <c r="G53" s="479">
        <f t="shared" si="2"/>
        <v>1210</v>
      </c>
      <c r="H53" s="303"/>
      <c r="I53" s="303"/>
      <c r="J53" s="303"/>
      <c r="K53" s="479">
        <f t="shared" si="1"/>
        <v>9020</v>
      </c>
    </row>
    <row r="54" spans="1:11">
      <c r="A54" s="474" t="s">
        <v>346</v>
      </c>
      <c r="B54" s="477">
        <v>11000</v>
      </c>
      <c r="C54" s="261">
        <v>600</v>
      </c>
      <c r="D54" s="474"/>
      <c r="E54" s="303"/>
      <c r="F54" s="479">
        <f t="shared" si="0"/>
        <v>770.00000000000011</v>
      </c>
      <c r="G54" s="479">
        <f t="shared" si="2"/>
        <v>1210</v>
      </c>
      <c r="H54" s="303"/>
      <c r="I54" s="303"/>
      <c r="J54" s="303"/>
      <c r="K54" s="479">
        <f t="shared" si="1"/>
        <v>9020</v>
      </c>
    </row>
    <row r="55" spans="1:11">
      <c r="A55" s="474" t="s">
        <v>445</v>
      </c>
      <c r="B55" s="477">
        <v>10000</v>
      </c>
      <c r="C55" s="475">
        <v>1600</v>
      </c>
      <c r="D55" s="474"/>
      <c r="E55" s="303"/>
      <c r="F55" s="479">
        <f t="shared" si="0"/>
        <v>700.00000000000011</v>
      </c>
      <c r="G55" s="479">
        <f t="shared" si="2"/>
        <v>1100</v>
      </c>
      <c r="H55" s="303"/>
      <c r="I55" s="303"/>
      <c r="J55" s="303"/>
      <c r="K55" s="479">
        <f t="shared" si="1"/>
        <v>8200</v>
      </c>
    </row>
    <row r="56" spans="1:11" ht="15.5">
      <c r="A56" s="481" t="s">
        <v>71</v>
      </c>
      <c r="B56" s="99">
        <v>13600</v>
      </c>
      <c r="C56" s="482"/>
      <c r="D56" s="474"/>
      <c r="E56" s="303"/>
      <c r="F56" s="479">
        <f t="shared" si="0"/>
        <v>952.00000000000011</v>
      </c>
      <c r="G56" s="479">
        <f t="shared" si="2"/>
        <v>1496</v>
      </c>
      <c r="H56" s="303"/>
      <c r="I56" s="303"/>
      <c r="J56" s="303"/>
      <c r="K56" s="479">
        <f t="shared" si="1"/>
        <v>11152</v>
      </c>
    </row>
    <row r="57" spans="1:11" ht="15.5">
      <c r="A57" s="474" t="s">
        <v>73</v>
      </c>
      <c r="B57" s="99">
        <v>10556</v>
      </c>
      <c r="C57" s="482"/>
      <c r="D57" s="303"/>
      <c r="E57" s="303"/>
      <c r="F57" s="479">
        <f t="shared" si="0"/>
        <v>738.92000000000007</v>
      </c>
      <c r="G57" s="479">
        <f t="shared" si="2"/>
        <v>1161.1600000000001</v>
      </c>
      <c r="H57" s="303"/>
      <c r="I57" s="303"/>
      <c r="J57" s="303"/>
      <c r="K57" s="479">
        <f t="shared" si="1"/>
        <v>8655.92</v>
      </c>
    </row>
    <row r="58" spans="1:11" ht="15.5">
      <c r="A58" s="474" t="s">
        <v>74</v>
      </c>
      <c r="B58" s="99">
        <v>10922.53</v>
      </c>
      <c r="C58" s="482"/>
      <c r="D58" s="303"/>
      <c r="E58" s="303"/>
      <c r="F58" s="479">
        <f t="shared" si="0"/>
        <v>764.57710000000009</v>
      </c>
      <c r="G58" s="479">
        <f t="shared" si="2"/>
        <v>1201.4783</v>
      </c>
      <c r="H58" s="303"/>
      <c r="I58" s="303"/>
      <c r="J58" s="303"/>
      <c r="K58" s="479">
        <f t="shared" si="1"/>
        <v>8956.4745999999996</v>
      </c>
    </row>
    <row r="59" spans="1:11" ht="15.5">
      <c r="A59" s="474" t="s">
        <v>75</v>
      </c>
      <c r="B59" s="99">
        <v>8500</v>
      </c>
      <c r="C59" s="482"/>
      <c r="D59" s="303"/>
      <c r="E59" s="303"/>
      <c r="F59" s="479">
        <f t="shared" si="0"/>
        <v>595</v>
      </c>
      <c r="G59" s="479">
        <f t="shared" si="2"/>
        <v>935</v>
      </c>
      <c r="H59" s="303"/>
      <c r="I59" s="303"/>
      <c r="J59" s="303"/>
      <c r="K59" s="479">
        <f t="shared" si="1"/>
        <v>6970</v>
      </c>
    </row>
    <row r="60" spans="1:11" ht="15.5">
      <c r="A60" s="474" t="s">
        <v>261</v>
      </c>
      <c r="B60" s="99">
        <v>12400</v>
      </c>
      <c r="C60" s="482">
        <v>600</v>
      </c>
      <c r="D60" s="303"/>
      <c r="E60" s="303"/>
      <c r="F60" s="479">
        <f t="shared" si="0"/>
        <v>868.00000000000011</v>
      </c>
      <c r="G60" s="479">
        <f t="shared" si="2"/>
        <v>1364</v>
      </c>
      <c r="H60" s="303"/>
      <c r="I60" s="303"/>
      <c r="J60" s="303"/>
      <c r="K60" s="479">
        <f t="shared" si="1"/>
        <v>10168</v>
      </c>
    </row>
    <row r="61" spans="1:11" ht="15.5">
      <c r="A61" s="474" t="s">
        <v>76</v>
      </c>
      <c r="B61" s="99">
        <v>6930.73</v>
      </c>
      <c r="C61" s="482"/>
      <c r="D61" s="303"/>
      <c r="E61" s="303"/>
      <c r="F61" s="479">
        <f t="shared" si="0"/>
        <v>485.15110000000004</v>
      </c>
      <c r="G61" s="479">
        <f t="shared" si="2"/>
        <v>762.38029999999992</v>
      </c>
      <c r="H61" s="303"/>
      <c r="I61" s="303"/>
      <c r="J61" s="303"/>
      <c r="K61" s="479">
        <f t="shared" si="1"/>
        <v>5683.1985999999997</v>
      </c>
    </row>
    <row r="62" spans="1:11" ht="15.5">
      <c r="A62" s="474" t="s">
        <v>77</v>
      </c>
      <c r="B62" s="99">
        <v>8689.73</v>
      </c>
      <c r="C62" s="482"/>
      <c r="D62" s="303"/>
      <c r="E62" s="303"/>
      <c r="F62" s="479">
        <f t="shared" si="0"/>
        <v>608.28110000000004</v>
      </c>
      <c r="G62" s="479">
        <f t="shared" si="2"/>
        <v>955.87029999999993</v>
      </c>
      <c r="H62" s="303"/>
      <c r="I62" s="303"/>
      <c r="J62" s="303"/>
      <c r="K62" s="479">
        <f t="shared" si="1"/>
        <v>7125.5785999999998</v>
      </c>
    </row>
    <row r="63" spans="1:11" ht="15.5">
      <c r="A63" s="474" t="s">
        <v>263</v>
      </c>
      <c r="B63" s="99">
        <v>8400</v>
      </c>
      <c r="C63" s="482">
        <v>600</v>
      </c>
      <c r="D63" s="303"/>
      <c r="E63" s="303"/>
      <c r="F63" s="479">
        <f t="shared" si="0"/>
        <v>588</v>
      </c>
      <c r="G63" s="479">
        <f t="shared" si="2"/>
        <v>924</v>
      </c>
      <c r="H63" s="303"/>
      <c r="I63" s="303"/>
      <c r="J63" s="303"/>
      <c r="K63" s="479">
        <f t="shared" si="1"/>
        <v>6888</v>
      </c>
    </row>
    <row r="64" spans="1:11" ht="15.5">
      <c r="A64" s="474" t="s">
        <v>262</v>
      </c>
      <c r="B64" s="99">
        <v>9400</v>
      </c>
      <c r="C64" s="482">
        <v>600</v>
      </c>
      <c r="D64" s="303"/>
      <c r="E64" s="303"/>
      <c r="F64" s="479">
        <f t="shared" si="0"/>
        <v>658.00000000000011</v>
      </c>
      <c r="G64" s="479">
        <f t="shared" si="2"/>
        <v>1034</v>
      </c>
      <c r="H64" s="303"/>
      <c r="I64" s="303"/>
      <c r="J64" s="303"/>
      <c r="K64" s="479">
        <f t="shared" si="1"/>
        <v>7708</v>
      </c>
    </row>
    <row r="65" spans="1:11" ht="15.5">
      <c r="A65" s="474" t="s">
        <v>264</v>
      </c>
      <c r="B65" s="99">
        <v>11400</v>
      </c>
      <c r="C65" s="482">
        <v>600</v>
      </c>
      <c r="D65" s="303"/>
      <c r="E65" s="303"/>
      <c r="F65" s="479">
        <f t="shared" si="0"/>
        <v>798.00000000000011</v>
      </c>
      <c r="G65" s="479">
        <f t="shared" si="2"/>
        <v>1254</v>
      </c>
      <c r="H65" s="303"/>
      <c r="I65" s="303"/>
      <c r="J65" s="303"/>
      <c r="K65" s="479">
        <f t="shared" si="1"/>
        <v>9348</v>
      </c>
    </row>
    <row r="66" spans="1:11" ht="15.5">
      <c r="A66" s="474" t="s">
        <v>265</v>
      </c>
      <c r="B66" s="99">
        <v>4900</v>
      </c>
      <c r="C66" s="482">
        <v>600</v>
      </c>
      <c r="D66" s="303"/>
      <c r="E66" s="303"/>
      <c r="F66" s="479">
        <f t="shared" si="0"/>
        <v>343.00000000000006</v>
      </c>
      <c r="G66" s="479">
        <f t="shared" si="2"/>
        <v>539</v>
      </c>
      <c r="H66" s="303"/>
      <c r="I66" s="303"/>
      <c r="J66" s="303"/>
      <c r="K66" s="479">
        <f t="shared" si="1"/>
        <v>4018</v>
      </c>
    </row>
    <row r="67" spans="1:11" ht="15.5">
      <c r="A67" s="474" t="s">
        <v>168</v>
      </c>
      <c r="B67" s="99">
        <v>6350</v>
      </c>
      <c r="C67" s="482"/>
      <c r="D67" s="303"/>
      <c r="E67" s="303"/>
      <c r="F67" s="479">
        <f t="shared" si="0"/>
        <v>444.50000000000006</v>
      </c>
      <c r="G67" s="479">
        <f t="shared" si="2"/>
        <v>698.5</v>
      </c>
      <c r="H67" s="303"/>
      <c r="I67" s="303"/>
      <c r="J67" s="303"/>
      <c r="K67" s="479">
        <f t="shared" si="1"/>
        <v>5207</v>
      </c>
    </row>
    <row r="68" spans="1:11" ht="15.5">
      <c r="A68" s="474" t="s">
        <v>78</v>
      </c>
      <c r="B68" s="99">
        <v>5850</v>
      </c>
      <c r="C68" s="482"/>
      <c r="D68" s="303"/>
      <c r="E68" s="303"/>
      <c r="F68" s="479">
        <f t="shared" si="0"/>
        <v>409.50000000000006</v>
      </c>
      <c r="G68" s="479">
        <f t="shared" si="2"/>
        <v>643.5</v>
      </c>
      <c r="H68" s="303"/>
      <c r="I68" s="303"/>
      <c r="J68" s="303"/>
      <c r="K68" s="479">
        <f t="shared" si="1"/>
        <v>4797</v>
      </c>
    </row>
    <row r="69" spans="1:11" ht="15.5">
      <c r="A69" s="474" t="s">
        <v>80</v>
      </c>
      <c r="B69" s="99">
        <v>9253</v>
      </c>
      <c r="C69" s="482"/>
      <c r="D69" s="303"/>
      <c r="E69" s="303"/>
      <c r="F69" s="479">
        <f t="shared" ref="F69:F131" si="3">B69*0.07</f>
        <v>647.71</v>
      </c>
      <c r="G69" s="479">
        <f t="shared" si="2"/>
        <v>1017.83</v>
      </c>
      <c r="H69" s="303"/>
      <c r="I69" s="303"/>
      <c r="J69" s="303"/>
      <c r="K69" s="479">
        <f t="shared" ref="K69:K131" si="4">B69-F69-G69</f>
        <v>7587.4600000000009</v>
      </c>
    </row>
    <row r="70" spans="1:11" ht="15.5">
      <c r="A70" s="474" t="s">
        <v>81</v>
      </c>
      <c r="B70" s="99">
        <v>9253</v>
      </c>
      <c r="C70" s="482"/>
      <c r="D70" s="303"/>
      <c r="E70" s="303"/>
      <c r="F70" s="479">
        <f t="shared" si="3"/>
        <v>647.71</v>
      </c>
      <c r="G70" s="479">
        <f t="shared" ref="G70:G132" si="5">B70*0.11</f>
        <v>1017.83</v>
      </c>
      <c r="H70" s="303"/>
      <c r="I70" s="303"/>
      <c r="J70" s="303"/>
      <c r="K70" s="479">
        <f t="shared" si="4"/>
        <v>7587.4600000000009</v>
      </c>
    </row>
    <row r="71" spans="1:11" ht="15.5">
      <c r="A71" s="474" t="s">
        <v>82</v>
      </c>
      <c r="B71" s="99">
        <v>6956.12</v>
      </c>
      <c r="C71" s="482"/>
      <c r="D71" s="303"/>
      <c r="E71" s="303"/>
      <c r="F71" s="479">
        <f t="shared" si="3"/>
        <v>486.92840000000001</v>
      </c>
      <c r="G71" s="479">
        <f t="shared" si="5"/>
        <v>765.17319999999995</v>
      </c>
      <c r="H71" s="303"/>
      <c r="I71" s="303"/>
      <c r="J71" s="303"/>
      <c r="K71" s="479">
        <f t="shared" si="4"/>
        <v>5704.0183999999999</v>
      </c>
    </row>
    <row r="72" spans="1:11" ht="15.5">
      <c r="A72" s="474" t="s">
        <v>83</v>
      </c>
      <c r="B72" s="99">
        <v>9112</v>
      </c>
      <c r="C72" s="482"/>
      <c r="D72" s="303"/>
      <c r="E72" s="303"/>
      <c r="F72" s="479">
        <f t="shared" si="3"/>
        <v>637.84</v>
      </c>
      <c r="G72" s="479">
        <f t="shared" si="5"/>
        <v>1002.32</v>
      </c>
      <c r="H72" s="303"/>
      <c r="I72" s="303"/>
      <c r="J72" s="303"/>
      <c r="K72" s="479">
        <f t="shared" si="4"/>
        <v>7471.84</v>
      </c>
    </row>
    <row r="73" spans="1:11" ht="15.5">
      <c r="A73" s="474" t="s">
        <v>84</v>
      </c>
      <c r="B73" s="99">
        <v>9665.84</v>
      </c>
      <c r="C73" s="482"/>
      <c r="D73" s="303"/>
      <c r="E73" s="303"/>
      <c r="F73" s="479">
        <f t="shared" si="3"/>
        <v>676.60880000000009</v>
      </c>
      <c r="G73" s="479">
        <f t="shared" si="5"/>
        <v>1063.2424000000001</v>
      </c>
      <c r="H73" s="303"/>
      <c r="I73" s="303"/>
      <c r="J73" s="303"/>
      <c r="K73" s="479">
        <f t="shared" si="4"/>
        <v>7925.9888000000001</v>
      </c>
    </row>
    <row r="74" spans="1:11" ht="15.5">
      <c r="A74" s="474" t="s">
        <v>86</v>
      </c>
      <c r="B74" s="99">
        <v>5600</v>
      </c>
      <c r="C74" s="482"/>
      <c r="D74" s="303"/>
      <c r="E74" s="303"/>
      <c r="F74" s="479">
        <f t="shared" si="3"/>
        <v>392.00000000000006</v>
      </c>
      <c r="G74" s="479">
        <f t="shared" si="5"/>
        <v>616</v>
      </c>
      <c r="H74" s="303"/>
      <c r="I74" s="303"/>
      <c r="J74" s="303"/>
      <c r="K74" s="479">
        <f t="shared" si="4"/>
        <v>4592</v>
      </c>
    </row>
    <row r="75" spans="1:11" ht="15.5">
      <c r="A75" s="474" t="s">
        <v>87</v>
      </c>
      <c r="B75" s="99">
        <v>8500</v>
      </c>
      <c r="C75" s="482"/>
      <c r="D75" s="303"/>
      <c r="E75" s="303"/>
      <c r="F75" s="479">
        <f t="shared" si="3"/>
        <v>595</v>
      </c>
      <c r="G75" s="479">
        <f t="shared" si="5"/>
        <v>935</v>
      </c>
      <c r="H75" s="303"/>
      <c r="I75" s="303"/>
      <c r="J75" s="303"/>
      <c r="K75" s="479">
        <f t="shared" si="4"/>
        <v>6970</v>
      </c>
    </row>
    <row r="76" spans="1:11" ht="15.5">
      <c r="A76" s="474" t="s">
        <v>88</v>
      </c>
      <c r="B76" s="99">
        <v>4500</v>
      </c>
      <c r="C76" s="482"/>
      <c r="D76" s="303"/>
      <c r="E76" s="303"/>
      <c r="F76" s="479">
        <f t="shared" si="3"/>
        <v>315.00000000000006</v>
      </c>
      <c r="G76" s="479">
        <f t="shared" si="5"/>
        <v>495</v>
      </c>
      <c r="H76" s="303"/>
      <c r="I76" s="303"/>
      <c r="J76" s="303"/>
      <c r="K76" s="479">
        <f t="shared" si="4"/>
        <v>3690</v>
      </c>
    </row>
    <row r="77" spans="1:11" ht="15.5">
      <c r="A77" s="474" t="s">
        <v>454</v>
      </c>
      <c r="B77" s="99">
        <v>4900</v>
      </c>
      <c r="C77" s="482">
        <v>600</v>
      </c>
      <c r="D77" s="303"/>
      <c r="E77" s="303"/>
      <c r="F77" s="479">
        <f t="shared" si="3"/>
        <v>343.00000000000006</v>
      </c>
      <c r="G77" s="479">
        <f t="shared" si="5"/>
        <v>539</v>
      </c>
      <c r="H77" s="303"/>
      <c r="I77" s="303"/>
      <c r="J77" s="303"/>
      <c r="K77" s="479">
        <f t="shared" si="4"/>
        <v>4018</v>
      </c>
    </row>
    <row r="78" spans="1:11" ht="15.5">
      <c r="A78" s="481" t="s">
        <v>455</v>
      </c>
      <c r="B78" s="99">
        <v>2400</v>
      </c>
      <c r="C78" s="653">
        <v>600</v>
      </c>
      <c r="D78" s="303"/>
      <c r="E78" s="303"/>
      <c r="F78" s="479">
        <f t="shared" si="3"/>
        <v>168.00000000000003</v>
      </c>
      <c r="G78" s="479">
        <f t="shared" si="5"/>
        <v>264</v>
      </c>
      <c r="H78" s="303"/>
      <c r="I78" s="303"/>
      <c r="J78" s="303"/>
      <c r="K78" s="479">
        <f t="shared" si="4"/>
        <v>1968</v>
      </c>
    </row>
    <row r="79" spans="1:11">
      <c r="A79" s="474" t="s">
        <v>92</v>
      </c>
      <c r="B79" s="99">
        <v>8322</v>
      </c>
      <c r="C79" s="474"/>
      <c r="D79" s="303"/>
      <c r="E79" s="303"/>
      <c r="F79" s="479">
        <f t="shared" si="3"/>
        <v>582.54000000000008</v>
      </c>
      <c r="G79" s="479">
        <f t="shared" si="5"/>
        <v>915.42</v>
      </c>
      <c r="H79" s="303"/>
      <c r="I79" s="303"/>
      <c r="J79" s="303"/>
      <c r="K79" s="479">
        <f t="shared" si="4"/>
        <v>6824.04</v>
      </c>
    </row>
    <row r="80" spans="1:11">
      <c r="A80" s="474" t="s">
        <v>94</v>
      </c>
      <c r="B80" s="99">
        <v>6889.46</v>
      </c>
      <c r="C80" s="474"/>
      <c r="D80" s="303"/>
      <c r="E80" s="303"/>
      <c r="F80" s="479">
        <f t="shared" si="3"/>
        <v>482.26220000000006</v>
      </c>
      <c r="G80" s="479">
        <f t="shared" si="5"/>
        <v>757.84059999999999</v>
      </c>
      <c r="H80" s="303"/>
      <c r="I80" s="303"/>
      <c r="J80" s="303"/>
      <c r="K80" s="479">
        <f t="shared" si="4"/>
        <v>5649.3572000000004</v>
      </c>
    </row>
    <row r="81" spans="1:11">
      <c r="A81" s="474" t="s">
        <v>95</v>
      </c>
      <c r="B81" s="99">
        <v>5110.79</v>
      </c>
      <c r="C81" s="474"/>
      <c r="D81" s="303"/>
      <c r="E81" s="303"/>
      <c r="F81" s="479">
        <f t="shared" si="3"/>
        <v>357.75530000000003</v>
      </c>
      <c r="G81" s="479">
        <f t="shared" si="5"/>
        <v>562.18690000000004</v>
      </c>
      <c r="H81" s="303"/>
      <c r="I81" s="303"/>
      <c r="J81" s="303"/>
      <c r="K81" s="479">
        <f t="shared" si="4"/>
        <v>4190.8478000000005</v>
      </c>
    </row>
    <row r="82" spans="1:11">
      <c r="A82" s="474" t="s">
        <v>96</v>
      </c>
      <c r="B82" s="99">
        <v>7585.88</v>
      </c>
      <c r="C82" s="474"/>
      <c r="D82" s="303"/>
      <c r="E82" s="303"/>
      <c r="F82" s="479">
        <f t="shared" si="3"/>
        <v>531.01160000000004</v>
      </c>
      <c r="G82" s="479">
        <f t="shared" si="5"/>
        <v>834.44680000000005</v>
      </c>
      <c r="H82" s="303"/>
      <c r="I82" s="303"/>
      <c r="J82" s="303"/>
      <c r="K82" s="479">
        <f t="shared" si="4"/>
        <v>6220.4216000000006</v>
      </c>
    </row>
    <row r="83" spans="1:11">
      <c r="A83" s="474" t="s">
        <v>97</v>
      </c>
      <c r="B83" s="99">
        <v>7862.5</v>
      </c>
      <c r="C83" s="474"/>
      <c r="D83" s="303"/>
      <c r="E83" s="303"/>
      <c r="F83" s="479">
        <f t="shared" si="3"/>
        <v>550.375</v>
      </c>
      <c r="G83" s="479">
        <f t="shared" si="5"/>
        <v>864.875</v>
      </c>
      <c r="H83" s="303"/>
      <c r="I83" s="303"/>
      <c r="J83" s="303"/>
      <c r="K83" s="479">
        <f t="shared" si="4"/>
        <v>6447.25</v>
      </c>
    </row>
    <row r="84" spans="1:11">
      <c r="A84" s="474" t="s">
        <v>98</v>
      </c>
      <c r="B84" s="99">
        <v>9210</v>
      </c>
      <c r="C84" s="474"/>
      <c r="D84" s="303"/>
      <c r="E84" s="303"/>
      <c r="F84" s="479">
        <f t="shared" si="3"/>
        <v>644.70000000000005</v>
      </c>
      <c r="G84" s="479">
        <f t="shared" si="5"/>
        <v>1013.1</v>
      </c>
      <c r="H84" s="303"/>
      <c r="I84" s="303"/>
      <c r="J84" s="303"/>
      <c r="K84" s="479">
        <f t="shared" si="4"/>
        <v>7552.1999999999989</v>
      </c>
    </row>
    <row r="85" spans="1:11">
      <c r="A85" s="474" t="s">
        <v>99</v>
      </c>
      <c r="B85" s="99">
        <v>5110.79</v>
      </c>
      <c r="C85" s="474"/>
      <c r="D85" s="303"/>
      <c r="E85" s="303"/>
      <c r="F85" s="479">
        <f t="shared" si="3"/>
        <v>357.75530000000003</v>
      </c>
      <c r="G85" s="479">
        <f t="shared" si="5"/>
        <v>562.18690000000004</v>
      </c>
      <c r="H85" s="303"/>
      <c r="I85" s="303"/>
      <c r="J85" s="303"/>
      <c r="K85" s="479">
        <f t="shared" si="4"/>
        <v>4190.8478000000005</v>
      </c>
    </row>
    <row r="86" spans="1:11">
      <c r="A86" s="474" t="s">
        <v>100</v>
      </c>
      <c r="B86" s="99">
        <v>8084</v>
      </c>
      <c r="C86" s="474"/>
      <c r="D86" s="303"/>
      <c r="E86" s="303"/>
      <c r="F86" s="479">
        <f t="shared" si="3"/>
        <v>565.88000000000011</v>
      </c>
      <c r="G86" s="479">
        <f t="shared" si="5"/>
        <v>889.24</v>
      </c>
      <c r="H86" s="303"/>
      <c r="I86" s="303"/>
      <c r="J86" s="303"/>
      <c r="K86" s="479">
        <f t="shared" si="4"/>
        <v>6628.88</v>
      </c>
    </row>
    <row r="87" spans="1:11">
      <c r="A87" s="474" t="s">
        <v>101</v>
      </c>
      <c r="B87" s="99">
        <v>8873.0300000000007</v>
      </c>
      <c r="C87" s="474"/>
      <c r="D87" s="303"/>
      <c r="E87" s="303"/>
      <c r="F87" s="479">
        <f t="shared" si="3"/>
        <v>621.11210000000005</v>
      </c>
      <c r="G87" s="479">
        <f t="shared" si="5"/>
        <v>976.03330000000005</v>
      </c>
      <c r="H87" s="303"/>
      <c r="I87" s="303"/>
      <c r="J87" s="303"/>
      <c r="K87" s="479">
        <f t="shared" si="4"/>
        <v>7275.8846000000003</v>
      </c>
    </row>
    <row r="88" spans="1:11">
      <c r="A88" s="474" t="s">
        <v>102</v>
      </c>
      <c r="B88" s="99">
        <v>8376.99</v>
      </c>
      <c r="C88" s="474"/>
      <c r="D88" s="303"/>
      <c r="E88" s="303"/>
      <c r="F88" s="479">
        <f t="shared" si="3"/>
        <v>586.38930000000005</v>
      </c>
      <c r="G88" s="479">
        <f t="shared" si="5"/>
        <v>921.46889999999996</v>
      </c>
      <c r="H88" s="303"/>
      <c r="I88" s="303"/>
      <c r="J88" s="303"/>
      <c r="K88" s="479">
        <f t="shared" si="4"/>
        <v>6869.1318000000001</v>
      </c>
    </row>
    <row r="89" spans="1:11">
      <c r="A89" s="474" t="s">
        <v>103</v>
      </c>
      <c r="B89" s="99">
        <v>8825.08</v>
      </c>
      <c r="C89" s="474"/>
      <c r="D89" s="303"/>
      <c r="E89" s="303"/>
      <c r="F89" s="479">
        <f t="shared" si="3"/>
        <v>617.75560000000007</v>
      </c>
      <c r="G89" s="479">
        <f t="shared" si="5"/>
        <v>970.75879999999995</v>
      </c>
      <c r="H89" s="303"/>
      <c r="I89" s="303"/>
      <c r="J89" s="303"/>
      <c r="K89" s="479">
        <f t="shared" si="4"/>
        <v>7236.5655999999999</v>
      </c>
    </row>
    <row r="90" spans="1:11">
      <c r="A90" s="474" t="s">
        <v>377</v>
      </c>
      <c r="B90" s="99">
        <v>2400</v>
      </c>
      <c r="C90" s="474">
        <v>600</v>
      </c>
      <c r="D90" s="303"/>
      <c r="E90" s="303"/>
      <c r="F90" s="479">
        <f t="shared" si="3"/>
        <v>168.00000000000003</v>
      </c>
      <c r="G90" s="479">
        <f t="shared" si="5"/>
        <v>264</v>
      </c>
      <c r="H90" s="303"/>
      <c r="I90" s="303"/>
      <c r="J90" s="303"/>
      <c r="K90" s="479">
        <f t="shared" si="4"/>
        <v>1968</v>
      </c>
    </row>
    <row r="91" spans="1:11">
      <c r="A91" s="474" t="s">
        <v>104</v>
      </c>
      <c r="B91" s="99">
        <v>5500</v>
      </c>
      <c r="C91" s="474"/>
      <c r="D91" s="303"/>
      <c r="E91" s="303"/>
      <c r="F91" s="479">
        <f t="shared" si="3"/>
        <v>385.00000000000006</v>
      </c>
      <c r="G91" s="479">
        <f t="shared" si="5"/>
        <v>605</v>
      </c>
      <c r="H91" s="303"/>
      <c r="I91" s="303"/>
      <c r="J91" s="303"/>
      <c r="K91" s="479">
        <f t="shared" si="4"/>
        <v>4510</v>
      </c>
    </row>
    <row r="92" spans="1:11">
      <c r="A92" s="474" t="s">
        <v>106</v>
      </c>
      <c r="B92" s="99">
        <v>4350</v>
      </c>
      <c r="C92" s="474"/>
      <c r="D92" s="303"/>
      <c r="E92" s="303"/>
      <c r="F92" s="479">
        <f t="shared" si="3"/>
        <v>304.50000000000006</v>
      </c>
      <c r="G92" s="479">
        <f t="shared" si="5"/>
        <v>478.5</v>
      </c>
      <c r="H92" s="303"/>
      <c r="I92" s="303"/>
      <c r="J92" s="303"/>
      <c r="K92" s="479">
        <f t="shared" si="4"/>
        <v>3567</v>
      </c>
    </row>
    <row r="93" spans="1:11">
      <c r="A93" s="474" t="s">
        <v>354</v>
      </c>
      <c r="B93" s="99">
        <v>4828.8500000000004</v>
      </c>
      <c r="C93" s="474"/>
      <c r="D93" s="303"/>
      <c r="E93" s="303"/>
      <c r="F93" s="479">
        <f t="shared" si="3"/>
        <v>338.01950000000005</v>
      </c>
      <c r="G93" s="479">
        <f t="shared" si="5"/>
        <v>531.17349999999999</v>
      </c>
      <c r="H93" s="303"/>
      <c r="I93" s="303"/>
      <c r="J93" s="303"/>
      <c r="K93" s="479">
        <f t="shared" si="4"/>
        <v>3959.6570000000002</v>
      </c>
    </row>
    <row r="94" spans="1:11">
      <c r="A94" s="474" t="s">
        <v>108</v>
      </c>
      <c r="B94" s="99">
        <v>4350</v>
      </c>
      <c r="C94" s="474"/>
      <c r="D94" s="303"/>
      <c r="E94" s="303"/>
      <c r="F94" s="479">
        <f t="shared" si="3"/>
        <v>304.50000000000006</v>
      </c>
      <c r="G94" s="479">
        <f t="shared" si="5"/>
        <v>478.5</v>
      </c>
      <c r="H94" s="303"/>
      <c r="I94" s="303"/>
      <c r="J94" s="303"/>
      <c r="K94" s="479">
        <f t="shared" si="4"/>
        <v>3567</v>
      </c>
    </row>
    <row r="95" spans="1:11">
      <c r="A95" s="474" t="s">
        <v>109</v>
      </c>
      <c r="B95" s="99">
        <v>4500</v>
      </c>
      <c r="C95" s="474"/>
      <c r="D95" s="303"/>
      <c r="E95" s="303"/>
      <c r="F95" s="479">
        <f t="shared" si="3"/>
        <v>315.00000000000006</v>
      </c>
      <c r="G95" s="479">
        <f t="shared" si="5"/>
        <v>495</v>
      </c>
      <c r="H95" s="303"/>
      <c r="I95" s="303"/>
      <c r="J95" s="303"/>
      <c r="K95" s="479">
        <f t="shared" si="4"/>
        <v>3690</v>
      </c>
    </row>
    <row r="96" spans="1:11">
      <c r="A96" s="474" t="s">
        <v>110</v>
      </c>
      <c r="B96" s="99">
        <v>4500</v>
      </c>
      <c r="C96" s="474"/>
      <c r="D96" s="303"/>
      <c r="E96" s="303"/>
      <c r="F96" s="479">
        <f t="shared" si="3"/>
        <v>315.00000000000006</v>
      </c>
      <c r="G96" s="479">
        <f t="shared" si="5"/>
        <v>495</v>
      </c>
      <c r="H96" s="303"/>
      <c r="I96" s="303"/>
      <c r="J96" s="303"/>
      <c r="K96" s="479">
        <f t="shared" si="4"/>
        <v>3690</v>
      </c>
    </row>
    <row r="97" spans="1:11">
      <c r="A97" s="474" t="s">
        <v>112</v>
      </c>
      <c r="B97" s="99">
        <v>4350</v>
      </c>
      <c r="C97" s="474"/>
      <c r="D97" s="303"/>
      <c r="E97" s="303"/>
      <c r="F97" s="479">
        <f t="shared" si="3"/>
        <v>304.50000000000006</v>
      </c>
      <c r="G97" s="479">
        <f t="shared" si="5"/>
        <v>478.5</v>
      </c>
      <c r="H97" s="303"/>
      <c r="I97" s="303"/>
      <c r="J97" s="303"/>
      <c r="K97" s="479">
        <f t="shared" si="4"/>
        <v>3567</v>
      </c>
    </row>
    <row r="98" spans="1:11">
      <c r="A98" s="474" t="s">
        <v>113</v>
      </c>
      <c r="B98" s="99">
        <v>5750</v>
      </c>
      <c r="C98" s="474"/>
      <c r="D98" s="303"/>
      <c r="E98" s="303"/>
      <c r="F98" s="479">
        <f t="shared" si="3"/>
        <v>402.50000000000006</v>
      </c>
      <c r="G98" s="479">
        <f t="shared" si="5"/>
        <v>632.5</v>
      </c>
      <c r="H98" s="303"/>
      <c r="I98" s="303"/>
      <c r="J98" s="303"/>
      <c r="K98" s="479">
        <f t="shared" si="4"/>
        <v>4715</v>
      </c>
    </row>
    <row r="99" spans="1:11">
      <c r="A99" s="474" t="s">
        <v>114</v>
      </c>
      <c r="B99" s="99">
        <v>5180</v>
      </c>
      <c r="C99" s="474"/>
      <c r="D99" s="303"/>
      <c r="E99" s="303"/>
      <c r="F99" s="479">
        <f t="shared" si="3"/>
        <v>362.6</v>
      </c>
      <c r="G99" s="479">
        <f t="shared" si="5"/>
        <v>569.79999999999995</v>
      </c>
      <c r="H99" s="303"/>
      <c r="I99" s="303"/>
      <c r="J99" s="303"/>
      <c r="K99" s="479">
        <f t="shared" si="4"/>
        <v>4247.5999999999995</v>
      </c>
    </row>
    <row r="100" spans="1:11">
      <c r="A100" s="474" t="s">
        <v>116</v>
      </c>
      <c r="B100" s="99">
        <v>11460</v>
      </c>
      <c r="C100" s="474">
        <v>1600</v>
      </c>
      <c r="D100" s="303"/>
      <c r="E100" s="303"/>
      <c r="F100" s="479">
        <f t="shared" si="3"/>
        <v>802.2</v>
      </c>
      <c r="G100" s="479">
        <f t="shared" si="5"/>
        <v>1260.5999999999999</v>
      </c>
      <c r="H100" s="303"/>
      <c r="I100" s="303"/>
      <c r="J100" s="303"/>
      <c r="K100" s="479">
        <f t="shared" si="4"/>
        <v>9397.1999999999989</v>
      </c>
    </row>
    <row r="101" spans="1:11">
      <c r="A101" s="474" t="s">
        <v>119</v>
      </c>
      <c r="B101" s="99">
        <v>4500</v>
      </c>
      <c r="C101" s="474"/>
      <c r="D101" s="303"/>
      <c r="E101" s="303"/>
      <c r="F101" s="479">
        <f t="shared" si="3"/>
        <v>315.00000000000006</v>
      </c>
      <c r="G101" s="479">
        <f t="shared" si="5"/>
        <v>495</v>
      </c>
      <c r="H101" s="303"/>
      <c r="I101" s="303"/>
      <c r="J101" s="303"/>
      <c r="K101" s="479">
        <f t="shared" si="4"/>
        <v>3690</v>
      </c>
    </row>
    <row r="102" spans="1:11">
      <c r="A102" s="474" t="s">
        <v>120</v>
      </c>
      <c r="B102" s="99">
        <v>4500</v>
      </c>
      <c r="C102" s="474"/>
      <c r="D102" s="303"/>
      <c r="E102" s="303"/>
      <c r="F102" s="479">
        <f t="shared" si="3"/>
        <v>315.00000000000006</v>
      </c>
      <c r="G102" s="479">
        <f t="shared" si="5"/>
        <v>495</v>
      </c>
      <c r="H102" s="303"/>
      <c r="I102" s="303"/>
      <c r="J102" s="303"/>
      <c r="K102" s="479">
        <f t="shared" si="4"/>
        <v>3690</v>
      </c>
    </row>
    <row r="103" spans="1:11">
      <c r="A103" s="474" t="s">
        <v>121</v>
      </c>
      <c r="B103" s="99">
        <v>4500</v>
      </c>
      <c r="C103" s="474"/>
      <c r="D103" s="303"/>
      <c r="E103" s="303"/>
      <c r="F103" s="479">
        <f t="shared" si="3"/>
        <v>315.00000000000006</v>
      </c>
      <c r="G103" s="479">
        <f t="shared" si="5"/>
        <v>495</v>
      </c>
      <c r="H103" s="303"/>
      <c r="I103" s="303"/>
      <c r="J103" s="303"/>
      <c r="K103" s="479">
        <f t="shared" si="4"/>
        <v>3690</v>
      </c>
    </row>
    <row r="104" spans="1:11">
      <c r="A104" s="474" t="s">
        <v>122</v>
      </c>
      <c r="B104" s="99">
        <v>6000</v>
      </c>
      <c r="C104" s="474"/>
      <c r="D104" s="303"/>
      <c r="E104" s="303"/>
      <c r="F104" s="479">
        <f t="shared" si="3"/>
        <v>420.00000000000006</v>
      </c>
      <c r="G104" s="479">
        <f t="shared" si="5"/>
        <v>660</v>
      </c>
      <c r="H104" s="303"/>
      <c r="I104" s="303"/>
      <c r="J104" s="303"/>
      <c r="K104" s="479">
        <f t="shared" si="4"/>
        <v>4920</v>
      </c>
    </row>
    <row r="105" spans="1:11">
      <c r="A105" s="474" t="s">
        <v>123</v>
      </c>
      <c r="B105" s="99">
        <v>4500</v>
      </c>
      <c r="C105" s="474"/>
      <c r="D105" s="303"/>
      <c r="E105" s="303"/>
      <c r="F105" s="479">
        <f t="shared" si="3"/>
        <v>315.00000000000006</v>
      </c>
      <c r="G105" s="479">
        <f t="shared" si="5"/>
        <v>495</v>
      </c>
      <c r="H105" s="303"/>
      <c r="I105" s="303"/>
      <c r="J105" s="303"/>
      <c r="K105" s="479">
        <f t="shared" si="4"/>
        <v>3690</v>
      </c>
    </row>
    <row r="106" spans="1:11">
      <c r="A106" s="474" t="s">
        <v>124</v>
      </c>
      <c r="B106" s="99">
        <v>5500</v>
      </c>
      <c r="C106" s="474"/>
      <c r="D106" s="303"/>
      <c r="E106" s="303"/>
      <c r="F106" s="479">
        <f t="shared" si="3"/>
        <v>385.00000000000006</v>
      </c>
      <c r="G106" s="479">
        <f t="shared" si="5"/>
        <v>605</v>
      </c>
      <c r="H106" s="303"/>
      <c r="I106" s="303"/>
      <c r="J106" s="303"/>
      <c r="K106" s="479">
        <f t="shared" si="4"/>
        <v>4510</v>
      </c>
    </row>
    <row r="107" spans="1:11">
      <c r="A107" s="474" t="s">
        <v>201</v>
      </c>
      <c r="B107" s="99">
        <v>5500</v>
      </c>
      <c r="C107" s="474"/>
      <c r="D107" s="303"/>
      <c r="E107" s="303"/>
      <c r="F107" s="479">
        <f t="shared" si="3"/>
        <v>385.00000000000006</v>
      </c>
      <c r="G107" s="479">
        <f t="shared" si="5"/>
        <v>605</v>
      </c>
      <c r="H107" s="303"/>
      <c r="I107" s="303"/>
      <c r="J107" s="303"/>
      <c r="K107" s="479">
        <f t="shared" si="4"/>
        <v>4510</v>
      </c>
    </row>
    <row r="108" spans="1:11">
      <c r="A108" s="474" t="s">
        <v>466</v>
      </c>
      <c r="B108" s="99">
        <v>3400</v>
      </c>
      <c r="C108" s="474">
        <v>600</v>
      </c>
      <c r="D108" s="303"/>
      <c r="E108" s="303"/>
      <c r="F108" s="479">
        <f t="shared" si="3"/>
        <v>238.00000000000003</v>
      </c>
      <c r="G108" s="479">
        <f t="shared" si="5"/>
        <v>374</v>
      </c>
      <c r="H108" s="303"/>
      <c r="I108" s="303"/>
      <c r="J108" s="303"/>
      <c r="K108" s="479">
        <f t="shared" si="4"/>
        <v>2788</v>
      </c>
    </row>
    <row r="109" spans="1:11">
      <c r="A109" s="474" t="s">
        <v>203</v>
      </c>
      <c r="B109" s="99">
        <v>3400</v>
      </c>
      <c r="C109" s="474">
        <v>600</v>
      </c>
      <c r="D109" s="303"/>
      <c r="E109" s="303"/>
      <c r="F109" s="479">
        <f t="shared" si="3"/>
        <v>238.00000000000003</v>
      </c>
      <c r="G109" s="479">
        <f t="shared" si="5"/>
        <v>374</v>
      </c>
      <c r="H109" s="303"/>
      <c r="I109" s="303"/>
      <c r="J109" s="303"/>
      <c r="K109" s="479">
        <f t="shared" si="4"/>
        <v>2788</v>
      </c>
    </row>
    <row r="110" spans="1:11">
      <c r="A110" s="474" t="s">
        <v>349</v>
      </c>
      <c r="B110" s="99">
        <v>16000</v>
      </c>
      <c r="C110" s="474">
        <v>2000</v>
      </c>
      <c r="D110" s="303"/>
      <c r="E110" s="303"/>
      <c r="F110" s="479">
        <f t="shared" si="3"/>
        <v>1120</v>
      </c>
      <c r="G110" s="479">
        <f t="shared" si="5"/>
        <v>1760</v>
      </c>
      <c r="H110" s="303"/>
      <c r="I110" s="303"/>
      <c r="J110" s="303"/>
      <c r="K110" s="479">
        <f t="shared" si="4"/>
        <v>13120</v>
      </c>
    </row>
    <row r="111" spans="1:11">
      <c r="A111" s="474" t="s">
        <v>350</v>
      </c>
      <c r="B111" s="99">
        <v>3400</v>
      </c>
      <c r="C111" s="474">
        <v>600</v>
      </c>
      <c r="D111" s="303"/>
      <c r="E111" s="303"/>
      <c r="F111" s="479">
        <f t="shared" si="3"/>
        <v>238.00000000000003</v>
      </c>
      <c r="G111" s="479">
        <f t="shared" si="5"/>
        <v>374</v>
      </c>
      <c r="H111" s="303"/>
      <c r="I111" s="303"/>
      <c r="J111" s="303"/>
      <c r="K111" s="479">
        <f t="shared" si="4"/>
        <v>2788</v>
      </c>
    </row>
    <row r="112" spans="1:11">
      <c r="A112" s="474" t="s">
        <v>361</v>
      </c>
      <c r="B112" s="99">
        <v>2900</v>
      </c>
      <c r="C112" s="474">
        <v>600</v>
      </c>
      <c r="D112" s="303"/>
      <c r="E112" s="303"/>
      <c r="F112" s="479">
        <f t="shared" si="3"/>
        <v>203.00000000000003</v>
      </c>
      <c r="G112" s="479">
        <f t="shared" si="5"/>
        <v>319</v>
      </c>
      <c r="H112" s="303"/>
      <c r="I112" s="303"/>
      <c r="J112" s="303"/>
      <c r="K112" s="479">
        <f t="shared" si="4"/>
        <v>2378</v>
      </c>
    </row>
    <row r="113" spans="1:11">
      <c r="A113" s="474" t="s">
        <v>363</v>
      </c>
      <c r="B113" s="99">
        <v>3400</v>
      </c>
      <c r="C113" s="474">
        <v>600</v>
      </c>
      <c r="D113" s="303"/>
      <c r="E113" s="303"/>
      <c r="F113" s="479">
        <f t="shared" si="3"/>
        <v>238.00000000000003</v>
      </c>
      <c r="G113" s="479">
        <f t="shared" si="5"/>
        <v>374</v>
      </c>
      <c r="H113" s="303"/>
      <c r="I113" s="303"/>
      <c r="J113" s="303"/>
      <c r="K113" s="479">
        <f t="shared" si="4"/>
        <v>2788</v>
      </c>
    </row>
    <row r="114" spans="1:11">
      <c r="A114" s="474" t="s">
        <v>446</v>
      </c>
      <c r="B114" s="99">
        <v>2400</v>
      </c>
      <c r="C114" s="474">
        <v>600</v>
      </c>
      <c r="D114" s="303"/>
      <c r="E114" s="303"/>
      <c r="F114" s="479">
        <f t="shared" si="3"/>
        <v>168.00000000000003</v>
      </c>
      <c r="G114" s="479">
        <f t="shared" si="5"/>
        <v>264</v>
      </c>
      <c r="H114" s="303"/>
      <c r="I114" s="303"/>
      <c r="J114" s="303"/>
      <c r="K114" s="479">
        <f t="shared" si="4"/>
        <v>1968</v>
      </c>
    </row>
    <row r="115" spans="1:11">
      <c r="A115" s="474" t="s">
        <v>447</v>
      </c>
      <c r="B115" s="99">
        <v>2400</v>
      </c>
      <c r="C115" s="474">
        <v>600</v>
      </c>
      <c r="D115" s="303"/>
      <c r="E115" s="303"/>
      <c r="F115" s="479">
        <f t="shared" si="3"/>
        <v>168.00000000000003</v>
      </c>
      <c r="G115" s="479">
        <f t="shared" si="5"/>
        <v>264</v>
      </c>
      <c r="H115" s="303"/>
      <c r="I115" s="303"/>
      <c r="J115" s="303"/>
      <c r="K115" s="479">
        <f t="shared" si="4"/>
        <v>1968</v>
      </c>
    </row>
    <row r="116" spans="1:11">
      <c r="A116" s="474" t="s">
        <v>449</v>
      </c>
      <c r="B116" s="99">
        <v>3400</v>
      </c>
      <c r="C116" s="474">
        <v>600</v>
      </c>
      <c r="D116" s="303"/>
      <c r="E116" s="303"/>
      <c r="F116" s="479">
        <f t="shared" si="3"/>
        <v>238.00000000000003</v>
      </c>
      <c r="G116" s="479">
        <f t="shared" si="5"/>
        <v>374</v>
      </c>
      <c r="H116" s="303"/>
      <c r="I116" s="303"/>
      <c r="J116" s="303"/>
      <c r="K116" s="479">
        <f t="shared" si="4"/>
        <v>2788</v>
      </c>
    </row>
    <row r="117" spans="1:11">
      <c r="A117" s="481" t="s">
        <v>451</v>
      </c>
      <c r="B117" s="99">
        <v>8000</v>
      </c>
      <c r="C117" s="474">
        <v>2000</v>
      </c>
      <c r="D117" s="303"/>
      <c r="E117" s="303"/>
      <c r="F117" s="479">
        <f t="shared" si="3"/>
        <v>560</v>
      </c>
      <c r="G117" s="479">
        <f t="shared" si="5"/>
        <v>880</v>
      </c>
      <c r="H117" s="303"/>
      <c r="I117" s="303"/>
      <c r="J117" s="303"/>
      <c r="K117" s="479">
        <f t="shared" si="4"/>
        <v>6560</v>
      </c>
    </row>
    <row r="118" spans="1:11">
      <c r="A118" s="474" t="s">
        <v>126</v>
      </c>
      <c r="B118" s="99">
        <v>5750</v>
      </c>
      <c r="C118" s="303"/>
      <c r="D118" s="303"/>
      <c r="E118" s="303"/>
      <c r="F118" s="479">
        <f t="shared" si="3"/>
        <v>402.50000000000006</v>
      </c>
      <c r="G118" s="479">
        <f t="shared" si="5"/>
        <v>632.5</v>
      </c>
      <c r="H118" s="303"/>
      <c r="I118" s="303"/>
      <c r="J118" s="303"/>
      <c r="K118" s="479">
        <f t="shared" si="4"/>
        <v>4715</v>
      </c>
    </row>
    <row r="119" spans="1:11">
      <c r="A119" s="474" t="s">
        <v>127</v>
      </c>
      <c r="B119" s="99">
        <v>6463.75</v>
      </c>
      <c r="C119" s="303"/>
      <c r="D119" s="303"/>
      <c r="E119" s="303"/>
      <c r="F119" s="479">
        <f t="shared" si="3"/>
        <v>452.46250000000003</v>
      </c>
      <c r="G119" s="479">
        <f t="shared" si="5"/>
        <v>711.01250000000005</v>
      </c>
      <c r="H119" s="303"/>
      <c r="I119" s="303"/>
      <c r="J119" s="303"/>
      <c r="K119" s="479">
        <f t="shared" si="4"/>
        <v>5300.2750000000005</v>
      </c>
    </row>
    <row r="120" spans="1:11">
      <c r="A120" s="474" t="s">
        <v>129</v>
      </c>
      <c r="B120" s="99">
        <v>9652.66</v>
      </c>
      <c r="C120" s="303"/>
      <c r="D120" s="303"/>
      <c r="E120" s="303"/>
      <c r="F120" s="479">
        <f t="shared" si="3"/>
        <v>675.6862000000001</v>
      </c>
      <c r="G120" s="479">
        <f t="shared" si="5"/>
        <v>1061.7926</v>
      </c>
      <c r="H120" s="303"/>
      <c r="I120" s="303"/>
      <c r="J120" s="303"/>
      <c r="K120" s="479">
        <f t="shared" si="4"/>
        <v>7915.1812</v>
      </c>
    </row>
    <row r="121" spans="1:11">
      <c r="A121" s="474" t="s">
        <v>131</v>
      </c>
      <c r="B121" s="99">
        <v>7628.58</v>
      </c>
      <c r="C121" s="303"/>
      <c r="D121" s="303"/>
      <c r="E121" s="303"/>
      <c r="F121" s="479">
        <f t="shared" si="3"/>
        <v>534.00060000000008</v>
      </c>
      <c r="G121" s="479">
        <f t="shared" si="5"/>
        <v>839.14379999999994</v>
      </c>
      <c r="H121" s="303"/>
      <c r="I121" s="303"/>
      <c r="J121" s="303"/>
      <c r="K121" s="479">
        <f t="shared" si="4"/>
        <v>6255.4355999999998</v>
      </c>
    </row>
    <row r="122" spans="1:11">
      <c r="A122" s="474" t="s">
        <v>132</v>
      </c>
      <c r="B122" s="99">
        <v>6542.22</v>
      </c>
      <c r="C122" s="303"/>
      <c r="D122" s="303"/>
      <c r="E122" s="303"/>
      <c r="F122" s="479">
        <f t="shared" si="3"/>
        <v>457.95540000000005</v>
      </c>
      <c r="G122" s="479">
        <f t="shared" si="5"/>
        <v>719.64420000000007</v>
      </c>
      <c r="H122" s="303"/>
      <c r="I122" s="303"/>
      <c r="J122" s="303"/>
      <c r="K122" s="479">
        <f t="shared" si="4"/>
        <v>5364.6204000000007</v>
      </c>
    </row>
    <row r="123" spans="1:11">
      <c r="A123" s="474" t="s">
        <v>134</v>
      </c>
      <c r="B123" s="99">
        <v>5750</v>
      </c>
      <c r="C123" s="303"/>
      <c r="D123" s="303"/>
      <c r="E123" s="303"/>
      <c r="F123" s="479">
        <f t="shared" si="3"/>
        <v>402.50000000000006</v>
      </c>
      <c r="G123" s="479">
        <f t="shared" si="5"/>
        <v>632.5</v>
      </c>
      <c r="H123" s="303"/>
      <c r="I123" s="303"/>
      <c r="J123" s="303"/>
      <c r="K123" s="479">
        <f t="shared" si="4"/>
        <v>4715</v>
      </c>
    </row>
    <row r="124" spans="1:11">
      <c r="A124" s="474" t="s">
        <v>135</v>
      </c>
      <c r="B124" s="99">
        <v>7997.09</v>
      </c>
      <c r="C124" s="303"/>
      <c r="D124" s="303"/>
      <c r="E124" s="303"/>
      <c r="F124" s="479">
        <f t="shared" si="3"/>
        <v>559.79630000000009</v>
      </c>
      <c r="G124" s="479">
        <f t="shared" si="5"/>
        <v>879.67989999999998</v>
      </c>
      <c r="H124" s="303"/>
      <c r="I124" s="303"/>
      <c r="J124" s="303"/>
      <c r="K124" s="479">
        <f t="shared" si="4"/>
        <v>6557.6138000000001</v>
      </c>
    </row>
    <row r="125" spans="1:11">
      <c r="A125" s="474" t="s">
        <v>136</v>
      </c>
      <c r="B125" s="99">
        <v>7393.65</v>
      </c>
      <c r="C125" s="303"/>
      <c r="D125" s="303"/>
      <c r="E125" s="303"/>
      <c r="F125" s="479">
        <f t="shared" si="3"/>
        <v>517.55550000000005</v>
      </c>
      <c r="G125" s="479">
        <f t="shared" si="5"/>
        <v>813.30149999999992</v>
      </c>
      <c r="H125" s="303"/>
      <c r="I125" s="303"/>
      <c r="J125" s="303"/>
      <c r="K125" s="479">
        <f t="shared" si="4"/>
        <v>6062.7929999999997</v>
      </c>
    </row>
    <row r="126" spans="1:11">
      <c r="A126" s="474" t="s">
        <v>137</v>
      </c>
      <c r="B126" s="99">
        <v>4500</v>
      </c>
      <c r="C126" s="303"/>
      <c r="D126" s="303"/>
      <c r="E126" s="303"/>
      <c r="F126" s="479">
        <f t="shared" si="3"/>
        <v>315.00000000000006</v>
      </c>
      <c r="G126" s="479">
        <f t="shared" si="5"/>
        <v>495</v>
      </c>
      <c r="H126" s="303"/>
      <c r="I126" s="303"/>
      <c r="J126" s="303"/>
      <c r="K126" s="479">
        <f t="shared" si="4"/>
        <v>3690</v>
      </c>
    </row>
    <row r="127" spans="1:11">
      <c r="A127" s="474" t="s">
        <v>138</v>
      </c>
      <c r="B127" s="99">
        <v>5750</v>
      </c>
      <c r="C127" s="303"/>
      <c r="D127" s="303"/>
      <c r="E127" s="303"/>
      <c r="F127" s="479">
        <f t="shared" si="3"/>
        <v>402.50000000000006</v>
      </c>
      <c r="G127" s="479">
        <f t="shared" si="5"/>
        <v>632.5</v>
      </c>
      <c r="H127" s="303"/>
      <c r="I127" s="303"/>
      <c r="J127" s="303"/>
      <c r="K127" s="479">
        <f t="shared" si="4"/>
        <v>4715</v>
      </c>
    </row>
    <row r="128" spans="1:11">
      <c r="A128" s="474" t="s">
        <v>139</v>
      </c>
      <c r="B128" s="99">
        <v>5000</v>
      </c>
      <c r="C128" s="303"/>
      <c r="D128" s="303"/>
      <c r="E128" s="303"/>
      <c r="F128" s="479">
        <f t="shared" si="3"/>
        <v>350.00000000000006</v>
      </c>
      <c r="G128" s="479">
        <f t="shared" si="5"/>
        <v>550</v>
      </c>
      <c r="H128" s="303"/>
      <c r="I128" s="303"/>
      <c r="J128" s="303"/>
      <c r="K128" s="479">
        <f t="shared" si="4"/>
        <v>4100</v>
      </c>
    </row>
    <row r="129" spans="1:11">
      <c r="A129" s="474" t="s">
        <v>140</v>
      </c>
      <c r="B129" s="99">
        <v>4500</v>
      </c>
      <c r="C129" s="303"/>
      <c r="D129" s="303"/>
      <c r="E129" s="303"/>
      <c r="F129" s="479">
        <f t="shared" si="3"/>
        <v>315.00000000000006</v>
      </c>
      <c r="G129" s="479">
        <f t="shared" si="5"/>
        <v>495</v>
      </c>
      <c r="H129" s="303"/>
      <c r="I129" s="303"/>
      <c r="J129" s="303"/>
      <c r="K129" s="479">
        <f t="shared" si="4"/>
        <v>3690</v>
      </c>
    </row>
    <row r="130" spans="1:11">
      <c r="A130" s="474" t="s">
        <v>142</v>
      </c>
      <c r="B130" s="99">
        <v>5750</v>
      </c>
      <c r="C130" s="303"/>
      <c r="D130" s="303"/>
      <c r="E130" s="303"/>
      <c r="F130" s="479">
        <f t="shared" si="3"/>
        <v>402.50000000000006</v>
      </c>
      <c r="G130" s="479">
        <f t="shared" si="5"/>
        <v>632.5</v>
      </c>
      <c r="H130" s="303"/>
      <c r="I130" s="303"/>
      <c r="J130" s="303"/>
      <c r="K130" s="479">
        <f t="shared" si="4"/>
        <v>4715</v>
      </c>
    </row>
    <row r="131" spans="1:11">
      <c r="A131" s="474" t="s">
        <v>143</v>
      </c>
      <c r="B131" s="99">
        <v>7750</v>
      </c>
      <c r="C131" s="303"/>
      <c r="D131" s="303"/>
      <c r="E131" s="303"/>
      <c r="F131" s="479">
        <f t="shared" si="3"/>
        <v>542.5</v>
      </c>
      <c r="G131" s="479">
        <f t="shared" si="5"/>
        <v>852.5</v>
      </c>
      <c r="H131" s="303"/>
      <c r="I131" s="303"/>
      <c r="J131" s="303"/>
      <c r="K131" s="479">
        <f t="shared" si="4"/>
        <v>6355</v>
      </c>
    </row>
    <row r="132" spans="1:11">
      <c r="A132" s="474" t="s">
        <v>145</v>
      </c>
      <c r="B132" s="99">
        <v>4500</v>
      </c>
      <c r="C132" s="303"/>
      <c r="D132" s="303"/>
      <c r="E132" s="303"/>
      <c r="F132" s="479">
        <f t="shared" ref="F132:F156" si="6">B132*0.07</f>
        <v>315.00000000000006</v>
      </c>
      <c r="G132" s="479">
        <f t="shared" si="5"/>
        <v>495</v>
      </c>
      <c r="H132" s="303"/>
      <c r="I132" s="303"/>
      <c r="J132" s="303"/>
      <c r="K132" s="479">
        <f t="shared" ref="K132:K156" si="7">B132-F132-G132</f>
        <v>3690</v>
      </c>
    </row>
    <row r="133" spans="1:11">
      <c r="A133" s="474" t="s">
        <v>146</v>
      </c>
      <c r="B133" s="99">
        <v>4500</v>
      </c>
      <c r="C133" s="303"/>
      <c r="D133" s="303"/>
      <c r="E133" s="303"/>
      <c r="F133" s="479">
        <f t="shared" si="6"/>
        <v>315.00000000000006</v>
      </c>
      <c r="G133" s="479">
        <f t="shared" ref="G133:G156" si="8">B133*0.11</f>
        <v>495</v>
      </c>
      <c r="H133" s="303"/>
      <c r="I133" s="303"/>
      <c r="J133" s="303"/>
      <c r="K133" s="479">
        <f t="shared" si="7"/>
        <v>3690</v>
      </c>
    </row>
    <row r="134" spans="1:11">
      <c r="A134" s="474" t="s">
        <v>147</v>
      </c>
      <c r="B134" s="99">
        <v>5000</v>
      </c>
      <c r="C134" s="303"/>
      <c r="D134" s="303"/>
      <c r="E134" s="303"/>
      <c r="F134" s="479">
        <f t="shared" si="6"/>
        <v>350.00000000000006</v>
      </c>
      <c r="G134" s="479">
        <f t="shared" si="8"/>
        <v>550</v>
      </c>
      <c r="H134" s="303"/>
      <c r="I134" s="303"/>
      <c r="J134" s="303"/>
      <c r="K134" s="479">
        <f t="shared" si="7"/>
        <v>4100</v>
      </c>
    </row>
    <row r="135" spans="1:11">
      <c r="A135" s="474" t="s">
        <v>148</v>
      </c>
      <c r="B135" s="99">
        <v>5500</v>
      </c>
      <c r="C135" s="303"/>
      <c r="D135" s="303"/>
      <c r="E135" s="303"/>
      <c r="F135" s="479">
        <f t="shared" si="6"/>
        <v>385.00000000000006</v>
      </c>
      <c r="G135" s="479">
        <f t="shared" si="8"/>
        <v>605</v>
      </c>
      <c r="H135" s="303"/>
      <c r="I135" s="303"/>
      <c r="J135" s="303"/>
      <c r="K135" s="479">
        <f t="shared" si="7"/>
        <v>4510</v>
      </c>
    </row>
    <row r="136" spans="1:11">
      <c r="A136" s="474" t="s">
        <v>149</v>
      </c>
      <c r="B136" s="99">
        <v>8000</v>
      </c>
      <c r="C136" s="303"/>
      <c r="D136" s="303"/>
      <c r="E136" s="303"/>
      <c r="F136" s="479">
        <f t="shared" si="6"/>
        <v>560</v>
      </c>
      <c r="G136" s="479">
        <f t="shared" si="8"/>
        <v>880</v>
      </c>
      <c r="H136" s="303"/>
      <c r="I136" s="303"/>
      <c r="J136" s="303"/>
      <c r="K136" s="479">
        <f t="shared" si="7"/>
        <v>6560</v>
      </c>
    </row>
    <row r="137" spans="1:11">
      <c r="A137" s="474" t="s">
        <v>187</v>
      </c>
      <c r="B137" s="99">
        <v>6000</v>
      </c>
      <c r="C137" s="303"/>
      <c r="D137" s="303"/>
      <c r="E137" s="303"/>
      <c r="F137" s="479">
        <f t="shared" si="6"/>
        <v>420.00000000000006</v>
      </c>
      <c r="G137" s="479">
        <f t="shared" si="8"/>
        <v>660</v>
      </c>
      <c r="H137" s="303"/>
      <c r="I137" s="303"/>
      <c r="J137" s="303"/>
      <c r="K137" s="479">
        <f t="shared" si="7"/>
        <v>4920</v>
      </c>
    </row>
    <row r="138" spans="1:11">
      <c r="A138" s="474" t="s">
        <v>151</v>
      </c>
      <c r="B138" s="99">
        <v>7000</v>
      </c>
      <c r="C138" s="303"/>
      <c r="D138" s="303"/>
      <c r="E138" s="303"/>
      <c r="F138" s="479">
        <f t="shared" si="6"/>
        <v>490.00000000000006</v>
      </c>
      <c r="G138" s="479">
        <f t="shared" si="8"/>
        <v>770</v>
      </c>
      <c r="H138" s="303"/>
      <c r="I138" s="303"/>
      <c r="J138" s="303"/>
      <c r="K138" s="479">
        <f t="shared" si="7"/>
        <v>5740</v>
      </c>
    </row>
    <row r="139" spans="1:11">
      <c r="A139" s="481" t="s">
        <v>196</v>
      </c>
      <c r="B139" s="99">
        <v>6000</v>
      </c>
      <c r="C139" s="474"/>
      <c r="D139" s="303"/>
      <c r="E139" s="303"/>
      <c r="F139" s="479">
        <f t="shared" si="6"/>
        <v>420.00000000000006</v>
      </c>
      <c r="G139" s="479">
        <f t="shared" si="8"/>
        <v>660</v>
      </c>
      <c r="H139" s="303"/>
      <c r="I139" s="303"/>
      <c r="J139" s="303"/>
      <c r="K139" s="479">
        <f t="shared" si="7"/>
        <v>4920</v>
      </c>
    </row>
    <row r="140" spans="1:11">
      <c r="A140" s="474" t="s">
        <v>154</v>
      </c>
      <c r="B140" s="99">
        <v>39200</v>
      </c>
      <c r="C140" s="474">
        <v>2000</v>
      </c>
      <c r="D140" s="303"/>
      <c r="E140" s="303"/>
      <c r="F140" s="479">
        <f t="shared" si="6"/>
        <v>2744.0000000000005</v>
      </c>
      <c r="G140" s="479">
        <f t="shared" si="8"/>
        <v>4312</v>
      </c>
      <c r="H140" s="303">
        <v>2000</v>
      </c>
      <c r="I140" s="303">
        <v>2000</v>
      </c>
      <c r="J140" s="303">
        <v>2000</v>
      </c>
      <c r="K140" s="479">
        <f t="shared" si="7"/>
        <v>32144</v>
      </c>
    </row>
    <row r="141" spans="1:11">
      <c r="A141" s="474" t="s">
        <v>373</v>
      </c>
      <c r="B141" s="99">
        <v>73000</v>
      </c>
      <c r="C141" s="474">
        <v>2000</v>
      </c>
      <c r="D141" s="303"/>
      <c r="E141" s="303"/>
      <c r="F141" s="479">
        <f t="shared" si="6"/>
        <v>5110.0000000000009</v>
      </c>
      <c r="G141" s="479">
        <f t="shared" si="8"/>
        <v>8030</v>
      </c>
      <c r="H141" s="303">
        <v>2000</v>
      </c>
      <c r="I141" s="303">
        <v>2000</v>
      </c>
      <c r="J141" s="303">
        <v>2000</v>
      </c>
      <c r="K141" s="479">
        <f t="shared" si="7"/>
        <v>59860</v>
      </c>
    </row>
    <row r="142" spans="1:11">
      <c r="A142" s="474" t="s">
        <v>170</v>
      </c>
      <c r="B142" s="99">
        <v>25100</v>
      </c>
      <c r="C142" s="474">
        <v>2000</v>
      </c>
      <c r="D142" s="303"/>
      <c r="E142" s="303"/>
      <c r="F142" s="479">
        <f t="shared" si="6"/>
        <v>1757.0000000000002</v>
      </c>
      <c r="G142" s="479">
        <f t="shared" si="8"/>
        <v>2761</v>
      </c>
      <c r="H142" s="303">
        <v>2000</v>
      </c>
      <c r="I142" s="303">
        <v>2000</v>
      </c>
      <c r="J142" s="303">
        <v>2000</v>
      </c>
      <c r="K142" s="479">
        <f t="shared" si="7"/>
        <v>20582</v>
      </c>
    </row>
    <row r="143" spans="1:11">
      <c r="A143" s="474" t="s">
        <v>155</v>
      </c>
      <c r="B143" s="99">
        <v>23430</v>
      </c>
      <c r="C143" s="474">
        <v>2000</v>
      </c>
      <c r="D143" s="303"/>
      <c r="E143" s="303"/>
      <c r="F143" s="479">
        <f t="shared" si="6"/>
        <v>1640.1000000000001</v>
      </c>
      <c r="G143" s="479">
        <f t="shared" si="8"/>
        <v>2577.3000000000002</v>
      </c>
      <c r="H143" s="303">
        <v>2000</v>
      </c>
      <c r="I143" s="303">
        <v>2000</v>
      </c>
      <c r="J143" s="303">
        <v>2000</v>
      </c>
      <c r="K143" s="479">
        <f t="shared" si="7"/>
        <v>19212.600000000002</v>
      </c>
    </row>
    <row r="144" spans="1:11">
      <c r="A144" s="474" t="s">
        <v>268</v>
      </c>
      <c r="B144" s="99">
        <v>16400</v>
      </c>
      <c r="C144" s="474">
        <v>600</v>
      </c>
      <c r="D144" s="303"/>
      <c r="E144" s="303"/>
      <c r="F144" s="479">
        <f t="shared" si="6"/>
        <v>1148</v>
      </c>
      <c r="G144" s="479">
        <f t="shared" si="8"/>
        <v>1804</v>
      </c>
      <c r="H144" s="303"/>
      <c r="I144" s="303"/>
      <c r="J144" s="303"/>
      <c r="K144" s="479">
        <f t="shared" si="7"/>
        <v>13448</v>
      </c>
    </row>
    <row r="145" spans="1:11">
      <c r="A145" s="474" t="s">
        <v>156</v>
      </c>
      <c r="B145" s="99">
        <v>9703.83</v>
      </c>
      <c r="C145" s="474"/>
      <c r="D145" s="303"/>
      <c r="E145" s="303"/>
      <c r="F145" s="479">
        <f t="shared" si="6"/>
        <v>679.2681</v>
      </c>
      <c r="G145" s="479">
        <f t="shared" si="8"/>
        <v>1067.4213</v>
      </c>
      <c r="H145" s="303"/>
      <c r="I145" s="303"/>
      <c r="J145" s="303"/>
      <c r="K145" s="479">
        <f t="shared" si="7"/>
        <v>7957.1406000000006</v>
      </c>
    </row>
    <row r="146" spans="1:11">
      <c r="A146" s="474" t="s">
        <v>157</v>
      </c>
      <c r="B146" s="99">
        <v>13057.2</v>
      </c>
      <c r="C146" s="474"/>
      <c r="D146" s="303"/>
      <c r="E146" s="303"/>
      <c r="F146" s="479">
        <f t="shared" si="6"/>
        <v>914.00400000000013</v>
      </c>
      <c r="G146" s="479">
        <f t="shared" si="8"/>
        <v>1436.2920000000001</v>
      </c>
      <c r="H146" s="303"/>
      <c r="I146" s="303"/>
      <c r="J146" s="303"/>
      <c r="K146" s="479">
        <f t="shared" si="7"/>
        <v>10706.904</v>
      </c>
    </row>
    <row r="147" spans="1:11">
      <c r="A147" s="474" t="s">
        <v>158</v>
      </c>
      <c r="B147" s="99">
        <v>12043.2</v>
      </c>
      <c r="C147" s="474"/>
      <c r="D147" s="303"/>
      <c r="E147" s="303"/>
      <c r="F147" s="479">
        <f t="shared" si="6"/>
        <v>843.02400000000011</v>
      </c>
      <c r="G147" s="479">
        <f t="shared" si="8"/>
        <v>1324.7520000000002</v>
      </c>
      <c r="H147" s="303"/>
      <c r="I147" s="303"/>
      <c r="J147" s="303"/>
      <c r="K147" s="479">
        <f t="shared" si="7"/>
        <v>9875.4240000000009</v>
      </c>
    </row>
    <row r="148" spans="1:11">
      <c r="A148" s="474" t="s">
        <v>159</v>
      </c>
      <c r="B148" s="99">
        <v>9800</v>
      </c>
      <c r="C148" s="474"/>
      <c r="D148" s="303"/>
      <c r="E148" s="303"/>
      <c r="F148" s="479">
        <f t="shared" si="6"/>
        <v>686.00000000000011</v>
      </c>
      <c r="G148" s="479">
        <f t="shared" si="8"/>
        <v>1078</v>
      </c>
      <c r="H148" s="303"/>
      <c r="I148" s="303"/>
      <c r="J148" s="303"/>
      <c r="K148" s="479">
        <f t="shared" si="7"/>
        <v>8036</v>
      </c>
    </row>
    <row r="149" spans="1:11">
      <c r="A149" s="474" t="s">
        <v>174</v>
      </c>
      <c r="B149" s="99">
        <v>18023.400000000001</v>
      </c>
      <c r="C149" s="474"/>
      <c r="D149" s="303"/>
      <c r="E149" s="303"/>
      <c r="F149" s="479">
        <f t="shared" si="6"/>
        <v>1261.6380000000001</v>
      </c>
      <c r="G149" s="479">
        <f t="shared" si="8"/>
        <v>1982.5740000000001</v>
      </c>
      <c r="H149" s="303"/>
      <c r="I149" s="303"/>
      <c r="J149" s="303"/>
      <c r="K149" s="479">
        <f t="shared" si="7"/>
        <v>14779.188000000002</v>
      </c>
    </row>
    <row r="150" spans="1:11">
      <c r="A150" s="474" t="s">
        <v>160</v>
      </c>
      <c r="B150" s="99">
        <v>13819.71</v>
      </c>
      <c r="C150" s="474">
        <v>1600</v>
      </c>
      <c r="D150" s="303"/>
      <c r="E150" s="303"/>
      <c r="F150" s="479">
        <f t="shared" si="6"/>
        <v>967.37970000000007</v>
      </c>
      <c r="G150" s="479">
        <f t="shared" si="8"/>
        <v>1520.1680999999999</v>
      </c>
      <c r="H150" s="303"/>
      <c r="I150" s="303"/>
      <c r="J150" s="303"/>
      <c r="K150" s="479">
        <f t="shared" si="7"/>
        <v>11332.162199999999</v>
      </c>
    </row>
    <row r="151" spans="1:11">
      <c r="A151" s="474" t="s">
        <v>183</v>
      </c>
      <c r="B151" s="99">
        <v>17300</v>
      </c>
      <c r="C151" s="474"/>
      <c r="D151" s="303"/>
      <c r="E151" s="303"/>
      <c r="F151" s="479">
        <f t="shared" si="6"/>
        <v>1211.0000000000002</v>
      </c>
      <c r="G151" s="479">
        <f t="shared" si="8"/>
        <v>1903</v>
      </c>
      <c r="H151" s="303"/>
      <c r="I151" s="303"/>
      <c r="J151" s="303"/>
      <c r="K151" s="479">
        <f t="shared" si="7"/>
        <v>14186</v>
      </c>
    </row>
    <row r="152" spans="1:11">
      <c r="A152" s="474" t="s">
        <v>118</v>
      </c>
      <c r="B152" s="99">
        <v>14300</v>
      </c>
      <c r="C152" s="474">
        <v>2000</v>
      </c>
      <c r="D152" s="303"/>
      <c r="E152" s="303"/>
      <c r="F152" s="479">
        <f t="shared" si="6"/>
        <v>1001.0000000000001</v>
      </c>
      <c r="G152" s="479">
        <f t="shared" si="8"/>
        <v>1573</v>
      </c>
      <c r="H152" s="303"/>
      <c r="I152" s="303"/>
      <c r="J152" s="303"/>
      <c r="K152" s="479">
        <f t="shared" si="7"/>
        <v>11726</v>
      </c>
    </row>
    <row r="153" spans="1:11">
      <c r="A153" s="474" t="s">
        <v>115</v>
      </c>
      <c r="B153" s="99">
        <v>12500</v>
      </c>
      <c r="C153" s="474"/>
      <c r="D153" s="303"/>
      <c r="E153" s="303"/>
      <c r="F153" s="479">
        <f t="shared" si="6"/>
        <v>875.00000000000011</v>
      </c>
      <c r="G153" s="479">
        <f t="shared" si="8"/>
        <v>1375</v>
      </c>
      <c r="H153" s="303"/>
      <c r="I153" s="303"/>
      <c r="J153" s="303"/>
      <c r="K153" s="479">
        <f t="shared" si="7"/>
        <v>10250</v>
      </c>
    </row>
    <row r="154" spans="1:11">
      <c r="A154" s="474" t="s">
        <v>359</v>
      </c>
      <c r="B154" s="99">
        <v>40000</v>
      </c>
      <c r="C154" s="474"/>
      <c r="D154" s="303"/>
      <c r="E154" s="303"/>
      <c r="F154" s="479">
        <f t="shared" si="6"/>
        <v>2800.0000000000005</v>
      </c>
      <c r="G154" s="479">
        <f t="shared" si="8"/>
        <v>4400</v>
      </c>
      <c r="H154" s="303"/>
      <c r="I154" s="303"/>
      <c r="J154" s="303"/>
      <c r="K154" s="479">
        <f t="shared" si="7"/>
        <v>32800</v>
      </c>
    </row>
    <row r="155" spans="1:11">
      <c r="A155" s="474" t="s">
        <v>460</v>
      </c>
      <c r="B155" s="99">
        <v>28000</v>
      </c>
      <c r="C155" s="474">
        <v>2000</v>
      </c>
      <c r="D155" s="303"/>
      <c r="E155" s="303"/>
      <c r="F155" s="479">
        <f t="shared" si="6"/>
        <v>1960.0000000000002</v>
      </c>
      <c r="G155" s="479">
        <f t="shared" si="8"/>
        <v>3080</v>
      </c>
      <c r="H155" s="303"/>
      <c r="I155" s="303"/>
      <c r="J155" s="303"/>
      <c r="K155" s="479">
        <f t="shared" si="7"/>
        <v>22960</v>
      </c>
    </row>
    <row r="156" spans="1:11" ht="21" customHeight="1">
      <c r="A156" s="474" t="s">
        <v>437</v>
      </c>
      <c r="B156" s="483">
        <v>12000</v>
      </c>
      <c r="C156" s="474"/>
      <c r="D156" s="474"/>
      <c r="E156" s="474"/>
      <c r="F156" s="479">
        <f t="shared" si="6"/>
        <v>840.00000000000011</v>
      </c>
      <c r="G156" s="479">
        <f t="shared" si="8"/>
        <v>1320</v>
      </c>
      <c r="H156" s="474"/>
      <c r="I156" s="474"/>
      <c r="J156" s="474"/>
      <c r="K156" s="479">
        <f t="shared" si="7"/>
        <v>9840</v>
      </c>
    </row>
    <row r="157" spans="1:11" ht="35.25" customHeight="1">
      <c r="A157" s="474"/>
      <c r="B157" s="483">
        <f t="shared" ref="B157:G157" si="9">SUM(B4:B156)</f>
        <v>1542367.8599999999</v>
      </c>
      <c r="C157" s="654">
        <f t="shared" si="9"/>
        <v>39600</v>
      </c>
      <c r="D157" s="474">
        <f t="shared" si="9"/>
        <v>6000</v>
      </c>
      <c r="E157" s="474">
        <f t="shared" si="9"/>
        <v>1500</v>
      </c>
      <c r="F157" s="483">
        <f t="shared" si="9"/>
        <v>107965.75020000001</v>
      </c>
      <c r="G157" s="483">
        <f t="shared" si="9"/>
        <v>169660.46460000004</v>
      </c>
      <c r="H157" s="474">
        <f>SUM(H140:H156)</f>
        <v>8000</v>
      </c>
      <c r="I157" s="474">
        <f>SUM(I140:I156)</f>
        <v>8000</v>
      </c>
      <c r="J157" s="474">
        <f>SUM(J140:J156)</f>
        <v>8000</v>
      </c>
      <c r="K157" s="483">
        <f>SUM(K4:K156)</f>
        <v>1264741.6452000001</v>
      </c>
    </row>
  </sheetData>
  <mergeCells count="1">
    <mergeCell ref="A2:K2"/>
  </mergeCells>
  <pageMargins left="0.69930555555555596" right="0.69930555555555596" top="0.75" bottom="0.75" header="0.3" footer="0.3"/>
  <pageSetup scale="72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L175"/>
  <sheetViews>
    <sheetView workbookViewId="0">
      <selection activeCell="E22" sqref="E22"/>
    </sheetView>
  </sheetViews>
  <sheetFormatPr defaultRowHeight="14.5"/>
  <cols>
    <col min="1" max="1" width="9" customWidth="1"/>
    <col min="2" max="2" width="28" customWidth="1"/>
    <col min="3" max="3" width="24.453125" customWidth="1"/>
    <col min="4" max="4" width="21.1796875" customWidth="1"/>
    <col min="5" max="5" width="27.81640625" customWidth="1"/>
    <col min="6" max="6" width="18.54296875" customWidth="1"/>
    <col min="7" max="7" width="13.26953125" customWidth="1"/>
    <col min="8" max="8" width="17" customWidth="1"/>
    <col min="9" max="9" width="18.1796875" customWidth="1"/>
    <col min="10" max="11" width="14.26953125" bestFit="1" customWidth="1"/>
    <col min="12" max="12" width="15.453125" customWidth="1"/>
  </cols>
  <sheetData>
    <row r="1" spans="1:5">
      <c r="A1" s="4"/>
      <c r="B1" s="5"/>
      <c r="C1" s="5"/>
      <c r="D1" s="5"/>
    </row>
    <row r="2" spans="1:5">
      <c r="A2" s="103"/>
      <c r="B2" s="108"/>
      <c r="C2" s="28"/>
      <c r="D2" s="5"/>
      <c r="E2" s="5"/>
    </row>
    <row r="3" spans="1:5" ht="15" customHeight="1">
      <c r="A3" s="6"/>
      <c r="B3" s="29"/>
      <c r="C3" s="28"/>
      <c r="D3" s="5"/>
      <c r="E3" s="5"/>
    </row>
    <row r="4" spans="1:5" ht="15.75" customHeight="1">
      <c r="A4" s="6"/>
      <c r="B4" s="29"/>
      <c r="C4" s="28"/>
      <c r="D4" s="5"/>
      <c r="E4" s="5"/>
    </row>
    <row r="5" spans="1:5" ht="15.75" customHeight="1">
      <c r="A5" s="6"/>
      <c r="B5" s="29"/>
      <c r="C5" s="28"/>
      <c r="D5" s="5"/>
      <c r="E5" s="5"/>
    </row>
    <row r="6" spans="1:5" ht="15.75" customHeight="1">
      <c r="A6" s="6"/>
      <c r="B6" s="29"/>
      <c r="C6" s="28"/>
      <c r="D6" s="5"/>
      <c r="E6" s="5"/>
    </row>
    <row r="7" spans="1:5">
      <c r="A7" s="6"/>
      <c r="B7" s="32"/>
      <c r="C7" s="28"/>
      <c r="D7" s="5"/>
      <c r="E7" s="5"/>
    </row>
    <row r="8" spans="1:5">
      <c r="A8" s="6"/>
      <c r="B8" s="7"/>
      <c r="C8" s="7"/>
      <c r="D8" s="7"/>
      <c r="E8" s="5"/>
    </row>
    <row r="9" spans="1:5">
      <c r="A9" s="6"/>
      <c r="B9" s="7"/>
      <c r="C9" s="7"/>
      <c r="D9" s="5"/>
      <c r="E9" s="5"/>
    </row>
    <row r="10" spans="1:5">
      <c r="A10" s="6"/>
      <c r="B10" s="9"/>
      <c r="C10" s="9"/>
      <c r="D10" s="33"/>
    </row>
    <row r="11" spans="1:5">
      <c r="A11" s="6"/>
      <c r="B11" s="9"/>
      <c r="C11" s="9"/>
      <c r="D11" s="9"/>
    </row>
    <row r="12" spans="1:5" ht="15.5">
      <c r="A12" s="6"/>
      <c r="B12" s="34"/>
      <c r="C12" s="34"/>
      <c r="D12" s="34"/>
    </row>
    <row r="13" spans="1:5">
      <c r="B13" s="7"/>
      <c r="C13" s="7"/>
      <c r="D13" s="7"/>
    </row>
    <row r="14" spans="1:5">
      <c r="B14" s="7"/>
      <c r="C14" s="7"/>
      <c r="D14" s="7"/>
    </row>
    <row r="15" spans="1:5" ht="15.5">
      <c r="A15" s="36"/>
      <c r="B15" s="5"/>
      <c r="C15" s="5"/>
      <c r="D15" s="5"/>
    </row>
    <row r="16" spans="1:5">
      <c r="A16" s="6"/>
      <c r="B16" s="5"/>
      <c r="C16" s="5"/>
      <c r="D16" s="5"/>
    </row>
    <row r="17" spans="1:4">
      <c r="A17" s="6"/>
      <c r="B17" s="5"/>
      <c r="C17" s="5"/>
      <c r="D17" s="5"/>
    </row>
    <row r="37" spans="1:5" s="189" customFormat="1">
      <c r="A37"/>
      <c r="B37"/>
      <c r="C37"/>
      <c r="D37"/>
      <c r="E37"/>
    </row>
    <row r="151" ht="16.5" customHeight="1"/>
    <row r="175" spans="6:12">
      <c r="F175" s="5">
        <v>16192896</v>
      </c>
      <c r="G175">
        <v>187949.41</v>
      </c>
      <c r="H175" s="5">
        <v>10842045</v>
      </c>
      <c r="I175" s="5">
        <v>110000</v>
      </c>
      <c r="J175" s="5">
        <v>26105918</v>
      </c>
      <c r="K175" s="5">
        <v>58315310</v>
      </c>
      <c r="L175" s="164">
        <f>SUM(F175:K175)</f>
        <v>111754118.41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I53"/>
  <sheetViews>
    <sheetView topLeftCell="A32" workbookViewId="0">
      <selection activeCell="B45" sqref="B45"/>
    </sheetView>
  </sheetViews>
  <sheetFormatPr defaultRowHeight="14.5"/>
  <cols>
    <col min="1" max="1" width="4.26953125" customWidth="1"/>
    <col min="2" max="2" width="29.81640625" customWidth="1"/>
    <col min="3" max="3" width="23.26953125" customWidth="1"/>
    <col min="4" max="4" width="20.7265625" customWidth="1"/>
  </cols>
  <sheetData>
    <row r="1" spans="1:35" ht="27.75" customHeight="1">
      <c r="A1" s="4"/>
      <c r="B1" s="5"/>
      <c r="C1" s="5"/>
      <c r="D1" s="5"/>
    </row>
    <row r="2" spans="1:35" ht="27.75" customHeight="1" thickBot="1">
      <c r="A2" s="784" t="s">
        <v>206</v>
      </c>
      <c r="B2" s="785"/>
      <c r="C2" s="785"/>
      <c r="D2" s="785"/>
    </row>
    <row r="3" spans="1:35" ht="27.75" customHeight="1">
      <c r="A3" s="778" t="s">
        <v>374</v>
      </c>
      <c r="B3" s="779"/>
      <c r="C3" s="779"/>
      <c r="D3" s="780"/>
    </row>
    <row r="4" spans="1:35" ht="27.75" customHeight="1" thickBot="1">
      <c r="A4" s="781"/>
      <c r="B4" s="782"/>
      <c r="C4" s="782"/>
      <c r="D4" s="783"/>
    </row>
    <row r="5" spans="1:35" ht="27.75" customHeight="1" thickTop="1">
      <c r="A5" s="786" t="s">
        <v>1</v>
      </c>
      <c r="B5" s="788" t="s">
        <v>2</v>
      </c>
      <c r="C5" s="790" t="s">
        <v>167</v>
      </c>
      <c r="D5" s="792" t="s">
        <v>3</v>
      </c>
    </row>
    <row r="6" spans="1:35" ht="27.75" customHeight="1" thickBot="1">
      <c r="A6" s="787"/>
      <c r="B6" s="789"/>
      <c r="C6" s="791"/>
      <c r="D6" s="793"/>
    </row>
    <row r="7" spans="1:35" ht="27.75" customHeight="1">
      <c r="A7" s="1">
        <v>1</v>
      </c>
      <c r="B7" s="168" t="s">
        <v>165</v>
      </c>
      <c r="C7" s="175" t="s">
        <v>376</v>
      </c>
      <c r="D7" s="204">
        <v>67900</v>
      </c>
    </row>
    <row r="8" spans="1:35" ht="27.75" customHeight="1">
      <c r="A8" s="268">
        <v>2</v>
      </c>
      <c r="B8" s="131" t="s">
        <v>373</v>
      </c>
      <c r="C8" s="207" t="s">
        <v>375</v>
      </c>
      <c r="D8" s="249">
        <v>157140</v>
      </c>
    </row>
    <row r="9" spans="1:35" s="267" customFormat="1" ht="27.75" customHeight="1">
      <c r="A9" s="1"/>
      <c r="B9" s="129" t="s">
        <v>6</v>
      </c>
      <c r="C9" s="176"/>
      <c r="D9" s="304">
        <f>SUM(D7:D8)</f>
        <v>225040</v>
      </c>
      <c r="E9" s="269"/>
      <c r="F9" s="269"/>
      <c r="G9" s="269"/>
      <c r="H9" s="269"/>
      <c r="I9" s="269"/>
      <c r="J9" s="269"/>
      <c r="K9" s="269"/>
      <c r="L9" s="269"/>
      <c r="M9" s="269"/>
      <c r="N9" s="269"/>
      <c r="O9" s="269"/>
      <c r="P9" s="269"/>
      <c r="Q9" s="269"/>
      <c r="R9" s="269"/>
      <c r="S9" s="269"/>
      <c r="T9" s="269"/>
      <c r="U9" s="269"/>
      <c r="V9" s="269"/>
      <c r="W9" s="269"/>
      <c r="X9" s="269"/>
      <c r="Y9" s="269"/>
      <c r="Z9" s="269"/>
      <c r="AA9" s="269"/>
      <c r="AB9" s="269"/>
      <c r="AC9" s="269"/>
      <c r="AD9" s="269"/>
      <c r="AE9" s="269"/>
      <c r="AF9" s="269"/>
      <c r="AG9" s="269"/>
      <c r="AH9" s="269"/>
      <c r="AI9" s="269"/>
    </row>
    <row r="10" spans="1:35">
      <c r="A10" s="269"/>
      <c r="B10" s="269"/>
      <c r="C10" s="270"/>
      <c r="D10" s="269"/>
    </row>
    <row r="11" spans="1:35">
      <c r="A11" s="269" t="s">
        <v>182</v>
      </c>
      <c r="B11" s="269"/>
      <c r="C11" s="271"/>
      <c r="D11" s="269" t="s">
        <v>360</v>
      </c>
    </row>
    <row r="12" spans="1:35">
      <c r="A12" t="s">
        <v>5</v>
      </c>
      <c r="C12" s="165"/>
      <c r="D12" s="269"/>
      <c r="E12" s="269"/>
      <c r="F12" s="269"/>
    </row>
    <row r="13" spans="1:35">
      <c r="C13" s="165"/>
      <c r="D13" s="269"/>
      <c r="E13" s="269"/>
      <c r="F13" s="269"/>
    </row>
    <row r="14" spans="1:35">
      <c r="C14" s="165"/>
    </row>
    <row r="15" spans="1:35">
      <c r="B15" s="272" t="s">
        <v>181</v>
      </c>
      <c r="C15" s="165"/>
    </row>
    <row r="16" spans="1:35">
      <c r="B16" t="s">
        <v>198</v>
      </c>
      <c r="C16" s="165"/>
    </row>
    <row r="17" spans="3:3">
      <c r="C17" s="165"/>
    </row>
    <row r="41" spans="1:5" ht="15.5">
      <c r="A41" s="817" t="s">
        <v>206</v>
      </c>
      <c r="B41" s="817"/>
      <c r="C41" s="817"/>
      <c r="D41" s="817"/>
      <c r="E41" s="817"/>
    </row>
    <row r="42" spans="1:5" ht="15.5">
      <c r="A42" s="817" t="s">
        <v>424</v>
      </c>
      <c r="B42" s="817"/>
      <c r="C42" s="817"/>
      <c r="D42" s="817"/>
      <c r="E42" s="817"/>
    </row>
    <row r="43" spans="1:5">
      <c r="A43" s="303"/>
      <c r="B43" s="303"/>
      <c r="C43" s="303"/>
      <c r="D43" s="303"/>
      <c r="E43" s="303"/>
    </row>
    <row r="44" spans="1:5" s="309" customFormat="1" ht="21">
      <c r="A44" s="308" t="s">
        <v>1</v>
      </c>
      <c r="B44" s="308" t="s">
        <v>2</v>
      </c>
      <c r="C44" s="308" t="s">
        <v>167</v>
      </c>
      <c r="D44" s="308" t="s">
        <v>3</v>
      </c>
      <c r="E44" s="308"/>
    </row>
    <row r="45" spans="1:5" s="289" customFormat="1" ht="21" customHeight="1">
      <c r="A45" s="310">
        <v>1</v>
      </c>
      <c r="B45" s="310" t="s">
        <v>165</v>
      </c>
      <c r="C45" s="310" t="s">
        <v>376</v>
      </c>
      <c r="D45" s="311">
        <v>33950</v>
      </c>
      <c r="E45" s="310"/>
    </row>
    <row r="46" spans="1:5" s="289" customFormat="1" ht="24" customHeight="1">
      <c r="A46" s="310"/>
      <c r="B46" s="310" t="s">
        <v>6</v>
      </c>
      <c r="C46" s="310"/>
      <c r="D46" s="311">
        <v>33950</v>
      </c>
      <c r="E46" s="310"/>
    </row>
    <row r="48" spans="1:5">
      <c r="A48" t="s">
        <v>182</v>
      </c>
      <c r="D48" t="s">
        <v>360</v>
      </c>
    </row>
    <row r="49" spans="1:2">
      <c r="A49" t="s">
        <v>5</v>
      </c>
    </row>
    <row r="52" spans="1:2">
      <c r="B52" t="s">
        <v>181</v>
      </c>
    </row>
    <row r="53" spans="1:2">
      <c r="B53" t="s">
        <v>198</v>
      </c>
    </row>
  </sheetData>
  <mergeCells count="8">
    <mergeCell ref="A41:E41"/>
    <mergeCell ref="A42:E42"/>
    <mergeCell ref="A2:D2"/>
    <mergeCell ref="A3:D4"/>
    <mergeCell ref="A5:A6"/>
    <mergeCell ref="B5:B6"/>
    <mergeCell ref="C5:C6"/>
    <mergeCell ref="D5:D6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J196"/>
  <sheetViews>
    <sheetView tabSelected="1" workbookViewId="0">
      <selection activeCell="G115" sqref="G115"/>
    </sheetView>
  </sheetViews>
  <sheetFormatPr defaultRowHeight="14.5"/>
  <cols>
    <col min="1" max="1" width="5.54296875" customWidth="1"/>
    <col min="2" max="2" width="25.453125" customWidth="1"/>
    <col min="3" max="3" width="20.26953125" customWidth="1"/>
    <col min="4" max="4" width="28.1796875" customWidth="1"/>
    <col min="5" max="5" width="14" customWidth="1"/>
    <col min="7" max="7" width="27.54296875" customWidth="1"/>
    <col min="8" max="8" width="15.453125" customWidth="1"/>
    <col min="10" max="10" width="13.26953125" bestFit="1" customWidth="1"/>
  </cols>
  <sheetData>
    <row r="1" spans="1:5" ht="18.5">
      <c r="A1" s="819">
        <v>46023</v>
      </c>
      <c r="B1" s="820"/>
      <c r="C1" s="820"/>
      <c r="D1" s="820"/>
      <c r="E1" s="820"/>
    </row>
    <row r="2" spans="1:5">
      <c r="A2" s="818" t="s">
        <v>427</v>
      </c>
      <c r="B2" s="818"/>
      <c r="C2" s="818"/>
      <c r="D2" s="818"/>
    </row>
    <row r="3" spans="1:5" s="10" customFormat="1" ht="9" customHeight="1">
      <c r="A3" s="818"/>
      <c r="B3" s="818"/>
      <c r="C3" s="818"/>
      <c r="D3" s="818"/>
    </row>
    <row r="4" spans="1:5" ht="15.75" customHeight="1">
      <c r="A4" s="291" t="s">
        <v>1</v>
      </c>
      <c r="B4" s="291" t="s">
        <v>2</v>
      </c>
      <c r="C4" s="291" t="s">
        <v>13</v>
      </c>
      <c r="D4" s="293" t="s">
        <v>3</v>
      </c>
    </row>
    <row r="5" spans="1:5" ht="18.5">
      <c r="A5" s="282">
        <v>1</v>
      </c>
      <c r="B5" s="282" t="s">
        <v>29</v>
      </c>
      <c r="C5" s="290">
        <v>16710.650000000001</v>
      </c>
      <c r="D5" s="290">
        <v>10518.709500000001</v>
      </c>
      <c r="E5" s="283" t="s">
        <v>29</v>
      </c>
    </row>
    <row r="6" spans="1:5" ht="18.5">
      <c r="A6" s="282">
        <v>2</v>
      </c>
      <c r="B6" s="282" t="s">
        <v>31</v>
      </c>
      <c r="C6" s="290">
        <v>17162.419999999998</v>
      </c>
      <c r="D6" s="290">
        <v>9223.2035999999989</v>
      </c>
      <c r="E6" s="283" t="s">
        <v>31</v>
      </c>
    </row>
    <row r="7" spans="1:5" ht="18.5">
      <c r="A7" s="282">
        <v>3</v>
      </c>
      <c r="B7" s="282" t="s">
        <v>32</v>
      </c>
      <c r="C7" s="290">
        <v>16474.86</v>
      </c>
      <c r="D7" s="290">
        <v>6360.4187999999995</v>
      </c>
      <c r="E7" s="283" t="s">
        <v>32</v>
      </c>
    </row>
    <row r="8" spans="1:5" ht="18.5">
      <c r="A8" s="282">
        <v>4</v>
      </c>
      <c r="B8" s="282" t="s">
        <v>33</v>
      </c>
      <c r="C8" s="290">
        <v>15477</v>
      </c>
      <c r="D8" s="290">
        <v>9915.5099999999984</v>
      </c>
      <c r="E8" s="283" t="s">
        <v>33</v>
      </c>
    </row>
    <row r="9" spans="1:5" ht="18.5">
      <c r="A9" s="282">
        <v>5</v>
      </c>
      <c r="B9" s="282" t="s">
        <v>34</v>
      </c>
      <c r="C9" s="290">
        <v>14478.21</v>
      </c>
      <c r="D9" s="290">
        <v>11666.259999999998</v>
      </c>
      <c r="E9" s="283" t="s">
        <v>34</v>
      </c>
    </row>
    <row r="10" spans="1:5" ht="18.5">
      <c r="A10" s="282">
        <v>6</v>
      </c>
      <c r="B10" s="282" t="s">
        <v>35</v>
      </c>
      <c r="C10" s="290">
        <v>16689.3</v>
      </c>
      <c r="D10" s="290">
        <v>9438.7939999999999</v>
      </c>
      <c r="E10" s="283" t="s">
        <v>35</v>
      </c>
    </row>
    <row r="11" spans="1:5" ht="18.5">
      <c r="A11" s="282">
        <v>7</v>
      </c>
      <c r="B11" s="282" t="s">
        <v>36</v>
      </c>
      <c r="C11" s="290">
        <v>21810</v>
      </c>
      <c r="D11" s="290">
        <v>15271.800000000001</v>
      </c>
      <c r="E11" s="283" t="s">
        <v>36</v>
      </c>
    </row>
    <row r="12" spans="1:5" ht="18.5">
      <c r="A12" s="282">
        <v>8</v>
      </c>
      <c r="B12" s="282" t="s">
        <v>37</v>
      </c>
      <c r="C12" s="290">
        <v>12978.21</v>
      </c>
      <c r="D12" s="290">
        <v>8509.7469999999994</v>
      </c>
      <c r="E12" s="283" t="s">
        <v>37</v>
      </c>
    </row>
    <row r="13" spans="1:5" ht="18.5">
      <c r="A13" s="282">
        <v>9</v>
      </c>
      <c r="B13" s="282" t="s">
        <v>38</v>
      </c>
      <c r="C13" s="290">
        <v>18615.97</v>
      </c>
      <c r="D13" s="290">
        <v>10214.262600000002</v>
      </c>
      <c r="E13" s="284" t="s">
        <v>38</v>
      </c>
    </row>
    <row r="14" spans="1:5" ht="18.5">
      <c r="A14" s="282">
        <v>10</v>
      </c>
      <c r="B14" s="282" t="s">
        <v>39</v>
      </c>
      <c r="C14" s="290">
        <v>16478.21</v>
      </c>
      <c r="D14" s="290">
        <v>9906.3617999999988</v>
      </c>
      <c r="E14" s="284" t="s">
        <v>39</v>
      </c>
    </row>
    <row r="15" spans="1:5" ht="18.5">
      <c r="A15" s="282">
        <v>11</v>
      </c>
      <c r="B15" s="282" t="s">
        <v>40</v>
      </c>
      <c r="C15" s="290">
        <v>25529</v>
      </c>
      <c r="D15" s="290">
        <v>13751.82</v>
      </c>
      <c r="E15" s="284" t="s">
        <v>40</v>
      </c>
    </row>
    <row r="16" spans="1:5" ht="18.5">
      <c r="A16" s="282">
        <v>12</v>
      </c>
      <c r="B16" s="282" t="s">
        <v>41</v>
      </c>
      <c r="C16" s="290">
        <v>16505.77</v>
      </c>
      <c r="D16" s="290">
        <v>11031.346600000001</v>
      </c>
      <c r="E16" s="284" t="s">
        <v>41</v>
      </c>
    </row>
    <row r="17" spans="1:5" ht="18.5">
      <c r="A17" s="282">
        <v>13</v>
      </c>
      <c r="B17" s="282" t="s">
        <v>42</v>
      </c>
      <c r="C17" s="290">
        <v>9880.2999999999993</v>
      </c>
      <c r="D17" s="290">
        <v>5224.5889999999999</v>
      </c>
      <c r="E17" s="284" t="s">
        <v>42</v>
      </c>
    </row>
    <row r="18" spans="1:5" ht="18.5">
      <c r="A18" s="282">
        <v>14</v>
      </c>
      <c r="B18" s="282" t="s">
        <v>43</v>
      </c>
      <c r="C18" s="290">
        <v>14604.59</v>
      </c>
      <c r="D18" s="290">
        <v>8579.8917000000001</v>
      </c>
      <c r="E18" s="284" t="s">
        <v>43</v>
      </c>
    </row>
    <row r="19" spans="1:5" ht="18.5">
      <c r="A19" s="282">
        <v>15</v>
      </c>
      <c r="B19" s="282" t="s">
        <v>44</v>
      </c>
      <c r="C19" s="290">
        <v>13530.18</v>
      </c>
      <c r="D19" s="290">
        <v>9998.0133999999998</v>
      </c>
      <c r="E19" s="284" t="s">
        <v>44</v>
      </c>
    </row>
    <row r="20" spans="1:5" ht="18.5">
      <c r="A20" s="282">
        <v>16</v>
      </c>
      <c r="B20" s="282" t="s">
        <v>45</v>
      </c>
      <c r="C20" s="290">
        <v>15810.18</v>
      </c>
      <c r="D20" s="290">
        <v>10495.413400000001</v>
      </c>
      <c r="E20" s="283" t="s">
        <v>45</v>
      </c>
    </row>
    <row r="21" spans="1:5" ht="18.5">
      <c r="A21" s="282">
        <v>17</v>
      </c>
      <c r="B21" s="282" t="s">
        <v>46</v>
      </c>
      <c r="C21" s="290">
        <v>13062.834999999999</v>
      </c>
      <c r="D21" s="290">
        <v>5478.5860499999999</v>
      </c>
      <c r="E21" s="283" t="s">
        <v>46</v>
      </c>
    </row>
    <row r="22" spans="1:5" ht="18.5">
      <c r="A22" s="282">
        <v>18</v>
      </c>
      <c r="B22" s="282" t="s">
        <v>47</v>
      </c>
      <c r="C22" s="290">
        <v>11618.89</v>
      </c>
      <c r="D22" s="290">
        <v>6865.8451999999997</v>
      </c>
      <c r="E22" s="283" t="s">
        <v>47</v>
      </c>
    </row>
    <row r="23" spans="1:5" ht="18.5">
      <c r="A23" s="282">
        <v>19</v>
      </c>
      <c r="B23" s="282" t="s">
        <v>48</v>
      </c>
      <c r="C23" s="290">
        <v>10202</v>
      </c>
      <c r="D23" s="290">
        <v>8071.36</v>
      </c>
      <c r="E23" s="283" t="s">
        <v>48</v>
      </c>
    </row>
    <row r="24" spans="1:5" ht="18.5">
      <c r="A24" s="282">
        <v>20</v>
      </c>
      <c r="B24" s="282" t="s">
        <v>49</v>
      </c>
      <c r="C24" s="290">
        <v>14124.032999999999</v>
      </c>
      <c r="D24" s="290">
        <v>8491.9391399999986</v>
      </c>
      <c r="E24" s="285" t="s">
        <v>49</v>
      </c>
    </row>
    <row r="25" spans="1:5" ht="18.5">
      <c r="A25" s="282">
        <v>21</v>
      </c>
      <c r="B25" s="282" t="s">
        <v>50</v>
      </c>
      <c r="C25" s="290">
        <v>14403.04</v>
      </c>
      <c r="D25" s="290">
        <v>10847.915199999999</v>
      </c>
      <c r="E25" s="286" t="s">
        <v>50</v>
      </c>
    </row>
    <row r="26" spans="1:5" ht="18.5">
      <c r="A26" s="282">
        <v>22</v>
      </c>
      <c r="B26" s="282" t="s">
        <v>51</v>
      </c>
      <c r="C26" s="290">
        <v>13002</v>
      </c>
      <c r="D26" s="290">
        <v>6621.2599999999993</v>
      </c>
      <c r="E26" s="286" t="s">
        <v>51</v>
      </c>
    </row>
    <row r="27" spans="1:5" ht="18.5">
      <c r="A27" s="282">
        <v>23</v>
      </c>
      <c r="B27" s="282" t="s">
        <v>52</v>
      </c>
      <c r="C27" s="290">
        <v>12025.57</v>
      </c>
      <c r="D27" s="290">
        <v>4445.1090999999997</v>
      </c>
      <c r="E27" s="286" t="s">
        <v>52</v>
      </c>
    </row>
    <row r="28" spans="1:5" ht="18.5">
      <c r="A28" s="282">
        <v>24</v>
      </c>
      <c r="B28" s="282" t="s">
        <v>53</v>
      </c>
      <c r="C28" s="290">
        <v>12051.963</v>
      </c>
      <c r="D28" s="290">
        <v>4641.7366899999997</v>
      </c>
      <c r="E28" s="283" t="s">
        <v>53</v>
      </c>
    </row>
    <row r="29" spans="1:5" ht="18.5">
      <c r="A29" s="282">
        <v>25</v>
      </c>
      <c r="B29" s="282" t="s">
        <v>367</v>
      </c>
      <c r="C29" s="290">
        <v>16842.400000000001</v>
      </c>
      <c r="D29" s="290">
        <v>11942.592000000001</v>
      </c>
      <c r="E29" s="283" t="s">
        <v>367</v>
      </c>
    </row>
    <row r="30" spans="1:5" ht="18.5">
      <c r="A30" s="282">
        <v>26</v>
      </c>
      <c r="B30" s="282" t="s">
        <v>54</v>
      </c>
      <c r="C30" s="290">
        <v>10701.933000000001</v>
      </c>
      <c r="D30" s="290">
        <v>6842.3144400000001</v>
      </c>
      <c r="E30" s="283" t="s">
        <v>54</v>
      </c>
    </row>
    <row r="31" spans="1:5" ht="18.5">
      <c r="A31" s="282">
        <v>27</v>
      </c>
      <c r="B31" s="282" t="s">
        <v>55</v>
      </c>
      <c r="C31" s="290">
        <v>11400</v>
      </c>
      <c r="D31" s="290">
        <v>6187</v>
      </c>
      <c r="E31" s="286" t="s">
        <v>55</v>
      </c>
    </row>
    <row r="32" spans="1:5" ht="18.5">
      <c r="A32" s="282">
        <v>28</v>
      </c>
      <c r="B32" s="282" t="s">
        <v>56</v>
      </c>
      <c r="C32" s="290">
        <v>16200</v>
      </c>
      <c r="D32" s="290">
        <v>7945</v>
      </c>
      <c r="E32" s="286" t="s">
        <v>56</v>
      </c>
    </row>
    <row r="33" spans="1:5" ht="18.5">
      <c r="A33" s="282">
        <v>29</v>
      </c>
      <c r="B33" s="282" t="s">
        <v>57</v>
      </c>
      <c r="C33" s="290">
        <v>15700</v>
      </c>
      <c r="D33" s="290">
        <v>9455</v>
      </c>
      <c r="E33" s="286" t="s">
        <v>57</v>
      </c>
    </row>
    <row r="34" spans="1:5" ht="18.5">
      <c r="A34" s="282">
        <v>30</v>
      </c>
      <c r="B34" s="282" t="s">
        <v>58</v>
      </c>
      <c r="C34" s="290">
        <v>10300</v>
      </c>
      <c r="D34" s="290">
        <v>8010</v>
      </c>
      <c r="E34" s="286" t="s">
        <v>58</v>
      </c>
    </row>
    <row r="35" spans="1:5" ht="18.5">
      <c r="A35" s="282">
        <v>31</v>
      </c>
      <c r="B35" s="282" t="s">
        <v>59</v>
      </c>
      <c r="C35" s="290">
        <v>10000</v>
      </c>
      <c r="D35" s="290">
        <v>8450</v>
      </c>
      <c r="E35" s="286" t="s">
        <v>59</v>
      </c>
    </row>
    <row r="36" spans="1:5" ht="18.5">
      <c r="A36" s="282">
        <v>32</v>
      </c>
      <c r="B36" s="282" t="s">
        <v>60</v>
      </c>
      <c r="C36" s="290">
        <v>14800</v>
      </c>
      <c r="D36" s="290">
        <v>9745</v>
      </c>
      <c r="E36" s="286" t="s">
        <v>347</v>
      </c>
    </row>
    <row r="37" spans="1:5" ht="18.5">
      <c r="A37" s="282">
        <v>33</v>
      </c>
      <c r="B37" s="282" t="s">
        <v>61</v>
      </c>
      <c r="C37" s="290">
        <v>16100</v>
      </c>
      <c r="D37" s="290">
        <v>10590</v>
      </c>
      <c r="E37" s="286" t="s">
        <v>358</v>
      </c>
    </row>
    <row r="38" spans="1:5" ht="18.5">
      <c r="A38" s="282">
        <v>34</v>
      </c>
      <c r="B38" s="282" t="s">
        <v>62</v>
      </c>
      <c r="C38" s="290">
        <v>12200</v>
      </c>
      <c r="D38" s="290">
        <v>7330</v>
      </c>
      <c r="E38" s="286" t="s">
        <v>62</v>
      </c>
    </row>
    <row r="39" spans="1:5" ht="18.5">
      <c r="A39" s="282">
        <v>35</v>
      </c>
      <c r="B39" s="282" t="s">
        <v>63</v>
      </c>
      <c r="C39" s="290">
        <v>17200</v>
      </c>
      <c r="D39" s="290">
        <v>14250</v>
      </c>
      <c r="E39" s="286" t="s">
        <v>348</v>
      </c>
    </row>
    <row r="40" spans="1:5" ht="18.5">
      <c r="A40" s="282">
        <v>36</v>
      </c>
      <c r="B40" s="282" t="s">
        <v>64</v>
      </c>
      <c r="C40" s="290">
        <v>18878</v>
      </c>
      <c r="D40" s="290">
        <v>14220.7</v>
      </c>
      <c r="E40" s="286" t="s">
        <v>64</v>
      </c>
    </row>
    <row r="41" spans="1:5" ht="18.5">
      <c r="A41" s="282">
        <v>37</v>
      </c>
      <c r="B41" s="282" t="s">
        <v>65</v>
      </c>
      <c r="C41" s="290">
        <v>13700</v>
      </c>
      <c r="D41" s="290">
        <v>10105</v>
      </c>
      <c r="E41" s="286" t="s">
        <v>65</v>
      </c>
    </row>
    <row r="42" spans="1:5" ht="18.5">
      <c r="A42" s="282">
        <v>38</v>
      </c>
      <c r="B42" s="282" t="s">
        <v>66</v>
      </c>
      <c r="C42" s="290">
        <v>15900</v>
      </c>
      <c r="D42" s="290">
        <v>9967</v>
      </c>
      <c r="E42" s="286" t="s">
        <v>66</v>
      </c>
    </row>
    <row r="43" spans="1:5" ht="18.5">
      <c r="A43" s="282">
        <v>39</v>
      </c>
      <c r="B43" s="282" t="s">
        <v>67</v>
      </c>
      <c r="C43" s="290">
        <v>7500</v>
      </c>
      <c r="D43" s="290">
        <v>5850</v>
      </c>
      <c r="E43" s="286" t="s">
        <v>67</v>
      </c>
    </row>
    <row r="44" spans="1:5" ht="18.5">
      <c r="A44" s="282">
        <v>40</v>
      </c>
      <c r="B44" s="282" t="s">
        <v>68</v>
      </c>
      <c r="C44" s="290">
        <v>14200</v>
      </c>
      <c r="D44" s="290">
        <v>8595</v>
      </c>
      <c r="E44" s="287" t="s">
        <v>68</v>
      </c>
    </row>
    <row r="45" spans="1:5" ht="18.5">
      <c r="A45" s="282">
        <v>41</v>
      </c>
      <c r="B45" s="282" t="s">
        <v>189</v>
      </c>
      <c r="C45" s="290">
        <v>10900</v>
      </c>
      <c r="D45" s="290">
        <v>8413</v>
      </c>
      <c r="E45" s="287" t="s">
        <v>189</v>
      </c>
    </row>
    <row r="46" spans="1:5" ht="18.5">
      <c r="A46" s="282">
        <v>42</v>
      </c>
      <c r="B46" s="282" t="s">
        <v>190</v>
      </c>
      <c r="C46" s="290">
        <v>13700</v>
      </c>
      <c r="D46" s="290">
        <v>9025</v>
      </c>
      <c r="E46" s="288" t="s">
        <v>190</v>
      </c>
    </row>
    <row r="47" spans="1:5" ht="18.5">
      <c r="A47" s="282">
        <v>43</v>
      </c>
      <c r="B47" s="282" t="s">
        <v>243</v>
      </c>
      <c r="C47" s="290">
        <v>12800</v>
      </c>
      <c r="D47" s="290">
        <v>10750</v>
      </c>
      <c r="E47" s="287" t="s">
        <v>243</v>
      </c>
    </row>
    <row r="48" spans="1:5" ht="18.5">
      <c r="A48" s="282">
        <v>44</v>
      </c>
      <c r="B48" s="282" t="s">
        <v>244</v>
      </c>
      <c r="C48" s="290">
        <v>14000</v>
      </c>
      <c r="D48" s="290">
        <v>9405</v>
      </c>
      <c r="E48" s="287" t="s">
        <v>244</v>
      </c>
    </row>
    <row r="49" spans="1:5" ht="18.5">
      <c r="A49" s="282">
        <v>45</v>
      </c>
      <c r="B49" s="282" t="s">
        <v>245</v>
      </c>
      <c r="C49" s="290">
        <v>18200</v>
      </c>
      <c r="D49" s="290">
        <v>7502</v>
      </c>
      <c r="E49" s="287" t="s">
        <v>245</v>
      </c>
    </row>
    <row r="50" spans="1:5" ht="18.5">
      <c r="A50" s="282">
        <v>46</v>
      </c>
      <c r="B50" s="282" t="s">
        <v>246</v>
      </c>
      <c r="C50" s="290">
        <v>18200</v>
      </c>
      <c r="D50" s="290">
        <v>12982</v>
      </c>
      <c r="E50" s="287" t="s">
        <v>246</v>
      </c>
    </row>
    <row r="51" spans="1:5" ht="18.5">
      <c r="A51" s="282">
        <v>47</v>
      </c>
      <c r="B51" s="282" t="s">
        <v>247</v>
      </c>
      <c r="C51" s="290">
        <v>14800</v>
      </c>
      <c r="D51" s="290">
        <v>7435</v>
      </c>
      <c r="E51" s="287" t="s">
        <v>247</v>
      </c>
    </row>
    <row r="52" spans="1:5" ht="18.5">
      <c r="A52" s="282">
        <v>48</v>
      </c>
      <c r="B52" s="282" t="s">
        <v>248</v>
      </c>
      <c r="C52" s="290">
        <v>16300</v>
      </c>
      <c r="D52" s="290">
        <v>11985</v>
      </c>
      <c r="E52" s="287" t="s">
        <v>248</v>
      </c>
    </row>
    <row r="53" spans="1:5" ht="18.5">
      <c r="A53" s="282">
        <v>49</v>
      </c>
      <c r="B53" s="282" t="s">
        <v>250</v>
      </c>
      <c r="C53" s="290">
        <v>14800</v>
      </c>
      <c r="D53" s="290">
        <v>11780</v>
      </c>
      <c r="E53" s="288" t="s">
        <v>250</v>
      </c>
    </row>
    <row r="54" spans="1:5" ht="18.5">
      <c r="A54" s="282">
        <v>50</v>
      </c>
      <c r="B54" s="282" t="s">
        <v>249</v>
      </c>
      <c r="C54" s="290">
        <v>11600</v>
      </c>
      <c r="D54" s="290">
        <v>6535</v>
      </c>
      <c r="E54" s="287" t="s">
        <v>249</v>
      </c>
    </row>
    <row r="55" spans="1:5" ht="18.5">
      <c r="A55" s="282">
        <v>51</v>
      </c>
      <c r="B55" s="282" t="s">
        <v>344</v>
      </c>
      <c r="C55" s="290">
        <v>14800</v>
      </c>
      <c r="D55" s="290">
        <v>9507</v>
      </c>
      <c r="E55" s="287" t="s">
        <v>344</v>
      </c>
    </row>
    <row r="56" spans="1:5" ht="18.5">
      <c r="A56" s="282">
        <v>52</v>
      </c>
      <c r="B56" s="282" t="s">
        <v>345</v>
      </c>
      <c r="C56" s="290">
        <v>12000</v>
      </c>
      <c r="D56" s="290">
        <v>8125</v>
      </c>
      <c r="E56" s="287" t="s">
        <v>345</v>
      </c>
    </row>
    <row r="57" spans="1:5" ht="18.5">
      <c r="A57" s="282">
        <v>53</v>
      </c>
      <c r="B57" s="282" t="s">
        <v>346</v>
      </c>
      <c r="C57" s="290">
        <v>14800</v>
      </c>
      <c r="D57" s="290">
        <v>6955</v>
      </c>
      <c r="E57" s="287" t="s">
        <v>346</v>
      </c>
    </row>
    <row r="58" spans="1:5" ht="18.5">
      <c r="A58" s="282">
        <v>54</v>
      </c>
      <c r="B58" s="327" t="s">
        <v>71</v>
      </c>
      <c r="C58" s="290">
        <v>13600</v>
      </c>
      <c r="D58" s="290">
        <v>9918</v>
      </c>
      <c r="E58" s="289" t="s">
        <v>71</v>
      </c>
    </row>
    <row r="59" spans="1:5" ht="18.5">
      <c r="A59" s="282">
        <v>55</v>
      </c>
      <c r="B59" s="282" t="s">
        <v>73</v>
      </c>
      <c r="C59" s="290">
        <v>10204</v>
      </c>
      <c r="D59" s="290">
        <v>7778.52</v>
      </c>
      <c r="E59" s="289" t="s">
        <v>73</v>
      </c>
    </row>
    <row r="60" spans="1:5" ht="18.5">
      <c r="A60" s="282">
        <v>56</v>
      </c>
      <c r="B60" s="282" t="s">
        <v>74</v>
      </c>
      <c r="C60" s="290">
        <v>10922.53</v>
      </c>
      <c r="D60" s="290">
        <v>5231.1939000000002</v>
      </c>
      <c r="E60" s="289" t="s">
        <v>74</v>
      </c>
    </row>
    <row r="61" spans="1:5" ht="18.5">
      <c r="A61" s="282">
        <v>57</v>
      </c>
      <c r="B61" s="282" t="s">
        <v>75</v>
      </c>
      <c r="C61" s="290">
        <v>8500</v>
      </c>
      <c r="D61" s="290">
        <v>4830</v>
      </c>
      <c r="E61" s="289" t="s">
        <v>75</v>
      </c>
    </row>
    <row r="62" spans="1:5" ht="18.5">
      <c r="A62" s="282">
        <v>58</v>
      </c>
      <c r="B62" s="282" t="s">
        <v>261</v>
      </c>
      <c r="C62" s="290">
        <v>13000</v>
      </c>
      <c r="D62" s="290">
        <v>9172</v>
      </c>
      <c r="E62" s="289" t="s">
        <v>261</v>
      </c>
    </row>
    <row r="63" spans="1:5" ht="18.5">
      <c r="A63" s="282">
        <v>59</v>
      </c>
      <c r="B63" s="282" t="s">
        <v>76</v>
      </c>
      <c r="C63" s="290">
        <v>6930.73</v>
      </c>
      <c r="D63" s="290">
        <v>5559.4328999999998</v>
      </c>
      <c r="E63" s="289" t="s">
        <v>76</v>
      </c>
    </row>
    <row r="64" spans="1:5" ht="18.5">
      <c r="A64" s="282">
        <v>60</v>
      </c>
      <c r="B64" s="282" t="s">
        <v>77</v>
      </c>
      <c r="C64" s="290">
        <v>8689.73</v>
      </c>
      <c r="D64" s="290">
        <v>6759.0163999999995</v>
      </c>
      <c r="E64" s="289" t="s">
        <v>77</v>
      </c>
    </row>
    <row r="65" spans="1:5" ht="18.5">
      <c r="A65" s="282">
        <v>61</v>
      </c>
      <c r="B65" s="282" t="s">
        <v>263</v>
      </c>
      <c r="C65" s="290">
        <v>9000</v>
      </c>
      <c r="D65" s="290">
        <v>7162</v>
      </c>
      <c r="E65" s="289" t="s">
        <v>263</v>
      </c>
    </row>
    <row r="66" spans="1:5" ht="18.5">
      <c r="A66" s="282">
        <v>62</v>
      </c>
      <c r="B66" s="282" t="s">
        <v>262</v>
      </c>
      <c r="C66" s="290">
        <v>10000</v>
      </c>
      <c r="D66" s="290">
        <v>7252</v>
      </c>
      <c r="E66" s="289" t="s">
        <v>262</v>
      </c>
    </row>
    <row r="67" spans="1:5" ht="18.5">
      <c r="A67" s="282">
        <v>63</v>
      </c>
      <c r="B67" s="282" t="s">
        <v>264</v>
      </c>
      <c r="C67" s="290">
        <v>12000</v>
      </c>
      <c r="D67" s="290">
        <v>8382</v>
      </c>
      <c r="E67" s="289" t="s">
        <v>264</v>
      </c>
    </row>
    <row r="68" spans="1:5" ht="18.5">
      <c r="A68" s="282">
        <v>64</v>
      </c>
      <c r="B68" s="282" t="s">
        <v>265</v>
      </c>
      <c r="C68" s="290">
        <v>5500</v>
      </c>
      <c r="D68" s="290">
        <v>4677</v>
      </c>
      <c r="E68" s="289" t="s">
        <v>265</v>
      </c>
    </row>
    <row r="69" spans="1:5" ht="18.5">
      <c r="A69" s="282">
        <v>65</v>
      </c>
      <c r="B69" s="282" t="s">
        <v>267</v>
      </c>
      <c r="C69" s="290">
        <v>5133.33</v>
      </c>
      <c r="D69" s="290">
        <v>4398.5308999999997</v>
      </c>
      <c r="E69" s="289" t="s">
        <v>267</v>
      </c>
    </row>
    <row r="70" spans="1:5" ht="18.5">
      <c r="A70" s="282">
        <v>66</v>
      </c>
      <c r="B70" s="282" t="s">
        <v>168</v>
      </c>
      <c r="C70" s="290">
        <v>6350</v>
      </c>
      <c r="D70" s="290">
        <v>5135.5</v>
      </c>
      <c r="E70" s="289" t="s">
        <v>168</v>
      </c>
    </row>
    <row r="71" spans="1:5" ht="18.5">
      <c r="A71" s="282">
        <v>67</v>
      </c>
      <c r="B71" s="282" t="s">
        <v>78</v>
      </c>
      <c r="C71" s="290">
        <v>5850</v>
      </c>
      <c r="D71" s="290">
        <v>4770.5</v>
      </c>
      <c r="E71" s="289" t="s">
        <v>78</v>
      </c>
    </row>
    <row r="72" spans="1:5" ht="18.5">
      <c r="A72" s="282">
        <v>68</v>
      </c>
      <c r="B72" s="282" t="s">
        <v>80</v>
      </c>
      <c r="C72" s="290">
        <v>9253</v>
      </c>
      <c r="D72" s="290">
        <v>7142.04</v>
      </c>
      <c r="E72" s="289" t="s">
        <v>80</v>
      </c>
    </row>
    <row r="73" spans="1:5" ht="18.5">
      <c r="A73" s="282">
        <v>69</v>
      </c>
      <c r="B73" s="282" t="s">
        <v>81</v>
      </c>
      <c r="C73" s="290">
        <v>9253</v>
      </c>
      <c r="D73" s="290">
        <v>4052.04</v>
      </c>
      <c r="E73" s="289" t="s">
        <v>81</v>
      </c>
    </row>
    <row r="74" spans="1:5" ht="18.5">
      <c r="A74" s="282">
        <v>70</v>
      </c>
      <c r="B74" s="282" t="s">
        <v>82</v>
      </c>
      <c r="C74" s="290">
        <v>6956.12</v>
      </c>
      <c r="D74" s="290">
        <v>2561.9675999999999</v>
      </c>
      <c r="E74" s="289" t="s">
        <v>82</v>
      </c>
    </row>
    <row r="75" spans="1:5" ht="18.5">
      <c r="A75" s="282">
        <v>71</v>
      </c>
      <c r="B75" s="282" t="s">
        <v>83</v>
      </c>
      <c r="C75" s="290">
        <v>9112</v>
      </c>
      <c r="D75" s="290">
        <v>3956.16</v>
      </c>
      <c r="E75" s="289" t="s">
        <v>83</v>
      </c>
    </row>
    <row r="76" spans="1:5" ht="18.5">
      <c r="A76" s="282">
        <v>72</v>
      </c>
      <c r="B76" s="282" t="s">
        <v>84</v>
      </c>
      <c r="C76" s="290">
        <v>9665.84</v>
      </c>
      <c r="D76" s="290">
        <v>7422.7712000000001</v>
      </c>
      <c r="E76" s="289" t="s">
        <v>84</v>
      </c>
    </row>
    <row r="77" spans="1:5" ht="18.5">
      <c r="A77" s="282">
        <v>73</v>
      </c>
      <c r="B77" s="282" t="s">
        <v>86</v>
      </c>
      <c r="C77" s="290">
        <v>5600</v>
      </c>
      <c r="D77" s="290">
        <v>2713</v>
      </c>
      <c r="E77" s="289" t="s">
        <v>86</v>
      </c>
    </row>
    <row r="78" spans="1:5" ht="18.5">
      <c r="A78" s="282">
        <v>74</v>
      </c>
      <c r="B78" s="282" t="s">
        <v>87</v>
      </c>
      <c r="C78" s="290">
        <v>8500</v>
      </c>
      <c r="D78" s="290">
        <v>6630</v>
      </c>
      <c r="E78" s="289" t="s">
        <v>87</v>
      </c>
    </row>
    <row r="79" spans="1:5" ht="18.5">
      <c r="A79" s="282">
        <v>75</v>
      </c>
      <c r="B79" s="282" t="s">
        <v>88</v>
      </c>
      <c r="C79" s="290">
        <v>4500</v>
      </c>
      <c r="D79" s="290">
        <v>3785</v>
      </c>
      <c r="E79" s="289" t="s">
        <v>88</v>
      </c>
    </row>
    <row r="80" spans="1:5" ht="18.5">
      <c r="A80" s="282">
        <v>76</v>
      </c>
      <c r="B80" s="327" t="s">
        <v>92</v>
      </c>
      <c r="C80" s="290">
        <v>8322</v>
      </c>
      <c r="D80" s="290">
        <v>4583.96</v>
      </c>
      <c r="E80" t="s">
        <v>92</v>
      </c>
    </row>
    <row r="81" spans="1:5" ht="18.5">
      <c r="A81" s="282">
        <v>77</v>
      </c>
      <c r="B81" s="282" t="s">
        <v>94</v>
      </c>
      <c r="C81" s="290">
        <v>6889.46</v>
      </c>
      <c r="D81" s="290">
        <v>5429.3058000000001</v>
      </c>
      <c r="E81" t="s">
        <v>94</v>
      </c>
    </row>
    <row r="82" spans="1:5" ht="18.5">
      <c r="A82" s="282">
        <v>78</v>
      </c>
      <c r="B82" s="282" t="s">
        <v>95</v>
      </c>
      <c r="C82" s="290">
        <v>5110.79</v>
      </c>
      <c r="D82" s="290">
        <v>4130.8766999999998</v>
      </c>
      <c r="E82" t="s">
        <v>95</v>
      </c>
    </row>
    <row r="83" spans="1:5" ht="18.5">
      <c r="A83" s="282">
        <v>79</v>
      </c>
      <c r="B83" s="282" t="s">
        <v>96</v>
      </c>
      <c r="C83" s="290">
        <v>7585.88</v>
      </c>
      <c r="D83" s="290">
        <v>5908.3984</v>
      </c>
      <c r="E83" t="s">
        <v>96</v>
      </c>
    </row>
    <row r="84" spans="1:5" ht="18.5">
      <c r="A84" s="282">
        <v>80</v>
      </c>
      <c r="B84" s="282" t="s">
        <v>97</v>
      </c>
      <c r="C84" s="290">
        <v>7862.5</v>
      </c>
      <c r="D84" s="290">
        <v>6096.5</v>
      </c>
      <c r="E84" t="s">
        <v>97</v>
      </c>
    </row>
    <row r="85" spans="1:5" ht="18.5">
      <c r="A85" s="282">
        <v>81</v>
      </c>
      <c r="B85" s="282" t="s">
        <v>98</v>
      </c>
      <c r="C85" s="290">
        <v>9210</v>
      </c>
      <c r="D85" s="290">
        <v>7012.8</v>
      </c>
      <c r="E85" t="s">
        <v>98</v>
      </c>
    </row>
    <row r="86" spans="1:5" ht="18.5">
      <c r="A86" s="282">
        <v>82</v>
      </c>
      <c r="B86" s="282" t="s">
        <v>99</v>
      </c>
      <c r="C86" s="290">
        <v>5110.79</v>
      </c>
      <c r="D86" s="290">
        <v>4130.8766999999998</v>
      </c>
      <c r="E86" t="s">
        <v>99</v>
      </c>
    </row>
    <row r="87" spans="1:5" ht="18.5">
      <c r="A87" s="282">
        <v>83</v>
      </c>
      <c r="B87" s="282" t="s">
        <v>100</v>
      </c>
      <c r="C87" s="290">
        <v>8084</v>
      </c>
      <c r="D87" s="290">
        <v>4034.12</v>
      </c>
      <c r="E87" t="s">
        <v>100</v>
      </c>
    </row>
    <row r="88" spans="1:5" ht="18.5">
      <c r="A88" s="282">
        <v>84</v>
      </c>
      <c r="B88" s="282" t="s">
        <v>101</v>
      </c>
      <c r="C88" s="290">
        <v>8873.0300000000007</v>
      </c>
      <c r="D88" s="290">
        <v>6783.6604000000007</v>
      </c>
      <c r="E88" t="s">
        <v>101</v>
      </c>
    </row>
    <row r="89" spans="1:5" ht="18.5">
      <c r="A89" s="282">
        <v>85</v>
      </c>
      <c r="B89" s="282" t="s">
        <v>102</v>
      </c>
      <c r="C89" s="290">
        <v>8376.99</v>
      </c>
      <c r="D89" s="290">
        <v>7035.2026999999998</v>
      </c>
      <c r="E89" t="s">
        <v>102</v>
      </c>
    </row>
    <row r="90" spans="1:5" ht="18.5">
      <c r="A90" s="282">
        <v>86</v>
      </c>
      <c r="B90" s="282" t="s">
        <v>103</v>
      </c>
      <c r="C90" s="290">
        <v>8825.08</v>
      </c>
      <c r="D90" s="290">
        <v>5838.0544</v>
      </c>
      <c r="E90" t="s">
        <v>103</v>
      </c>
    </row>
    <row r="91" spans="1:5" ht="18.5">
      <c r="A91" s="282">
        <v>87</v>
      </c>
      <c r="B91" s="282" t="s">
        <v>377</v>
      </c>
      <c r="C91" s="290">
        <v>3000</v>
      </c>
      <c r="D91" s="290">
        <v>2732</v>
      </c>
      <c r="E91" t="s">
        <v>377</v>
      </c>
    </row>
    <row r="92" spans="1:5" ht="18.5">
      <c r="A92" s="282">
        <v>88</v>
      </c>
      <c r="B92" s="282" t="s">
        <v>104</v>
      </c>
      <c r="C92" s="290">
        <v>5500</v>
      </c>
      <c r="D92" s="290">
        <v>4415</v>
      </c>
      <c r="E92" t="s">
        <v>104</v>
      </c>
    </row>
    <row r="93" spans="1:5" ht="18.5">
      <c r="A93" s="282">
        <v>89</v>
      </c>
      <c r="B93" s="282" t="s">
        <v>106</v>
      </c>
      <c r="C93" s="290">
        <v>4500</v>
      </c>
      <c r="D93" s="290">
        <v>3685</v>
      </c>
      <c r="E93" t="s">
        <v>106</v>
      </c>
    </row>
    <row r="94" spans="1:5" ht="18.5">
      <c r="A94" s="282">
        <v>90</v>
      </c>
      <c r="B94" s="282" t="s">
        <v>107</v>
      </c>
      <c r="C94" s="290">
        <v>4828.8500000000004</v>
      </c>
      <c r="D94" s="290">
        <v>3925.0605000000005</v>
      </c>
      <c r="E94" t="s">
        <v>354</v>
      </c>
    </row>
    <row r="95" spans="1:5" ht="18.5">
      <c r="A95" s="282">
        <v>91</v>
      </c>
      <c r="B95" s="282" t="s">
        <v>108</v>
      </c>
      <c r="C95" s="290">
        <v>4500</v>
      </c>
      <c r="D95" s="290">
        <v>1860</v>
      </c>
      <c r="E95" t="s">
        <v>108</v>
      </c>
    </row>
    <row r="96" spans="1:5" ht="18.5">
      <c r="A96" s="282">
        <v>92</v>
      </c>
      <c r="B96" s="282" t="s">
        <v>109</v>
      </c>
      <c r="C96" s="290">
        <v>4500</v>
      </c>
      <c r="D96" s="290">
        <v>4000</v>
      </c>
      <c r="E96" t="s">
        <v>109</v>
      </c>
    </row>
    <row r="97" spans="1:5" ht="18.5">
      <c r="A97" s="282">
        <v>93</v>
      </c>
      <c r="B97" s="282" t="s">
        <v>110</v>
      </c>
      <c r="C97" s="290">
        <v>4500</v>
      </c>
      <c r="D97" s="290">
        <v>2772</v>
      </c>
      <c r="E97" t="s">
        <v>110</v>
      </c>
    </row>
    <row r="98" spans="1:5" ht="18.5">
      <c r="A98" s="282">
        <v>94</v>
      </c>
      <c r="B98" s="282" t="s">
        <v>111</v>
      </c>
      <c r="C98" s="290">
        <v>4500</v>
      </c>
      <c r="D98" s="290">
        <v>3685</v>
      </c>
      <c r="E98" t="s">
        <v>111</v>
      </c>
    </row>
    <row r="99" spans="1:5" ht="18.5">
      <c r="A99" s="282">
        <v>95</v>
      </c>
      <c r="B99" s="282" t="s">
        <v>112</v>
      </c>
      <c r="C99" s="290">
        <v>4500</v>
      </c>
      <c r="D99" s="290">
        <v>3685</v>
      </c>
      <c r="E99" t="s">
        <v>112</v>
      </c>
    </row>
    <row r="100" spans="1:5" ht="18.5">
      <c r="A100" s="282">
        <v>96</v>
      </c>
      <c r="B100" s="282" t="s">
        <v>113</v>
      </c>
      <c r="C100" s="290">
        <v>5654.1660000000002</v>
      </c>
      <c r="D100" s="290">
        <v>3614.5411800000002</v>
      </c>
      <c r="E100" t="s">
        <v>113</v>
      </c>
    </row>
    <row r="101" spans="1:5" ht="18.5">
      <c r="A101" s="282">
        <v>97</v>
      </c>
      <c r="B101" s="282" t="s">
        <v>114</v>
      </c>
      <c r="C101" s="290">
        <v>5180</v>
      </c>
      <c r="D101" s="290">
        <v>4281.3999999999996</v>
      </c>
      <c r="E101" t="s">
        <v>114</v>
      </c>
    </row>
    <row r="102" spans="1:5" ht="18.5">
      <c r="A102" s="282">
        <v>98</v>
      </c>
      <c r="B102" s="282" t="s">
        <v>116</v>
      </c>
      <c r="C102" s="290">
        <v>11460</v>
      </c>
      <c r="D102" s="290">
        <v>3554.8</v>
      </c>
      <c r="E102" t="s">
        <v>116</v>
      </c>
    </row>
    <row r="103" spans="1:5" ht="18.5">
      <c r="A103" s="282">
        <v>99</v>
      </c>
      <c r="B103" s="282" t="s">
        <v>119</v>
      </c>
      <c r="C103" s="290">
        <v>4500</v>
      </c>
      <c r="D103" s="290">
        <v>3685</v>
      </c>
      <c r="E103" t="s">
        <v>119</v>
      </c>
    </row>
    <row r="104" spans="1:5" ht="18.5">
      <c r="A104" s="282">
        <v>100</v>
      </c>
      <c r="B104" s="282" t="s">
        <v>120</v>
      </c>
      <c r="C104" s="290">
        <v>4500</v>
      </c>
      <c r="D104" s="290">
        <v>3785</v>
      </c>
      <c r="E104" t="s">
        <v>120</v>
      </c>
    </row>
    <row r="105" spans="1:5" ht="18.5">
      <c r="A105" s="282">
        <v>101</v>
      </c>
      <c r="B105" s="282" t="s">
        <v>121</v>
      </c>
      <c r="C105" s="290">
        <v>4500</v>
      </c>
      <c r="D105" s="290">
        <v>3785</v>
      </c>
      <c r="E105" t="s">
        <v>121</v>
      </c>
    </row>
    <row r="106" spans="1:5" ht="18.5">
      <c r="A106" s="282">
        <v>102</v>
      </c>
      <c r="B106" s="282" t="s">
        <v>122</v>
      </c>
      <c r="C106" s="290">
        <v>6000</v>
      </c>
      <c r="D106" s="290">
        <v>4880</v>
      </c>
      <c r="E106" t="s">
        <v>122</v>
      </c>
    </row>
    <row r="107" spans="1:5" ht="18.5">
      <c r="A107" s="282">
        <v>103</v>
      </c>
      <c r="B107" s="282" t="s">
        <v>123</v>
      </c>
      <c r="C107" s="290">
        <v>4500</v>
      </c>
      <c r="D107" s="290">
        <v>2872</v>
      </c>
      <c r="E107" t="s">
        <v>123</v>
      </c>
    </row>
    <row r="108" spans="1:5" ht="18.5">
      <c r="A108" s="282">
        <v>104</v>
      </c>
      <c r="B108" s="282" t="s">
        <v>124</v>
      </c>
      <c r="C108" s="290">
        <v>5500</v>
      </c>
      <c r="D108" s="290">
        <v>2590</v>
      </c>
      <c r="E108" t="s">
        <v>124</v>
      </c>
    </row>
    <row r="109" spans="1:5" ht="18.5">
      <c r="A109" s="282">
        <v>105</v>
      </c>
      <c r="B109" s="282" t="s">
        <v>201</v>
      </c>
      <c r="C109" s="290">
        <v>5500</v>
      </c>
      <c r="D109" s="290">
        <v>4415</v>
      </c>
      <c r="E109" t="s">
        <v>201</v>
      </c>
    </row>
    <row r="110" spans="1:5" ht="18.5">
      <c r="A110" s="282">
        <v>106</v>
      </c>
      <c r="B110" s="282" t="s">
        <v>204</v>
      </c>
      <c r="C110" s="290">
        <v>4000</v>
      </c>
      <c r="D110" s="290">
        <v>3452</v>
      </c>
      <c r="E110" t="s">
        <v>204</v>
      </c>
    </row>
    <row r="111" spans="1:5" ht="18.5">
      <c r="A111" s="282">
        <v>107</v>
      </c>
      <c r="B111" s="282" t="s">
        <v>203</v>
      </c>
      <c r="C111" s="290">
        <v>4000</v>
      </c>
      <c r="D111" s="290">
        <v>3452</v>
      </c>
      <c r="E111" t="s">
        <v>203</v>
      </c>
    </row>
    <row r="112" spans="1:5" ht="18.5">
      <c r="A112" s="282">
        <v>108</v>
      </c>
      <c r="B112" s="282" t="s">
        <v>202</v>
      </c>
      <c r="C112" s="290">
        <v>4000</v>
      </c>
      <c r="D112" s="290">
        <v>3452</v>
      </c>
      <c r="E112" t="s">
        <v>202</v>
      </c>
    </row>
    <row r="113" spans="1:5" ht="18.5">
      <c r="A113" s="282">
        <v>109</v>
      </c>
      <c r="B113" s="282" t="s">
        <v>321</v>
      </c>
      <c r="C113" s="290">
        <v>18000</v>
      </c>
      <c r="D113" s="290">
        <v>14350</v>
      </c>
      <c r="E113" t="s">
        <v>349</v>
      </c>
    </row>
    <row r="114" spans="1:5" ht="18.5">
      <c r="A114" s="282">
        <v>110</v>
      </c>
      <c r="B114" s="282" t="s">
        <v>350</v>
      </c>
      <c r="C114" s="290">
        <v>4000</v>
      </c>
      <c r="D114" s="290">
        <v>2539</v>
      </c>
      <c r="E114" s="331" t="s">
        <v>428</v>
      </c>
    </row>
    <row r="115" spans="1:5" ht="18.5">
      <c r="A115" s="282">
        <v>111</v>
      </c>
      <c r="B115" s="282" t="s">
        <v>361</v>
      </c>
      <c r="C115" s="290">
        <v>3500</v>
      </c>
      <c r="D115" s="290">
        <v>3062</v>
      </c>
      <c r="E115" t="s">
        <v>361</v>
      </c>
    </row>
    <row r="116" spans="1:5" ht="18.5">
      <c r="A116" s="282">
        <v>112</v>
      </c>
      <c r="B116" s="282" t="s">
        <v>363</v>
      </c>
      <c r="C116" s="290">
        <v>4000</v>
      </c>
      <c r="D116" s="290">
        <v>3452</v>
      </c>
      <c r="E116" t="s">
        <v>363</v>
      </c>
    </row>
    <row r="117" spans="1:5" ht="18.5">
      <c r="A117" s="282">
        <v>113</v>
      </c>
      <c r="B117" s="282" t="s">
        <v>362</v>
      </c>
      <c r="C117" s="290">
        <v>4000</v>
      </c>
      <c r="D117" s="290">
        <v>3452</v>
      </c>
      <c r="E117" t="s">
        <v>362</v>
      </c>
    </row>
    <row r="118" spans="1:5" ht="18.5">
      <c r="A118" s="282">
        <v>114</v>
      </c>
      <c r="B118" s="327" t="s">
        <v>126</v>
      </c>
      <c r="C118" s="290">
        <v>5750</v>
      </c>
      <c r="D118" s="290">
        <v>4697.5</v>
      </c>
      <c r="E118" t="s">
        <v>126</v>
      </c>
    </row>
    <row r="119" spans="1:5" ht="18.5">
      <c r="A119" s="282">
        <v>115</v>
      </c>
      <c r="B119" s="282" t="s">
        <v>127</v>
      </c>
      <c r="C119" s="290">
        <v>6463.75</v>
      </c>
      <c r="D119" s="290">
        <v>5218.5375000000004</v>
      </c>
      <c r="E119" t="s">
        <v>127</v>
      </c>
    </row>
    <row r="120" spans="1:5" ht="18.5">
      <c r="A120" s="282">
        <v>116</v>
      </c>
      <c r="B120" s="282" t="s">
        <v>129</v>
      </c>
      <c r="C120" s="290">
        <v>9652.66</v>
      </c>
      <c r="D120" s="290">
        <v>7413.8087999999998</v>
      </c>
      <c r="E120" t="s">
        <v>129</v>
      </c>
    </row>
    <row r="121" spans="1:5" ht="18.5">
      <c r="A121" s="282">
        <v>117</v>
      </c>
      <c r="B121" s="282" t="s">
        <v>131</v>
      </c>
      <c r="C121" s="290">
        <v>7628.58</v>
      </c>
      <c r="D121" s="290">
        <v>5124.4344000000001</v>
      </c>
      <c r="E121" t="s">
        <v>131</v>
      </c>
    </row>
    <row r="122" spans="1:5" ht="18.5">
      <c r="A122" s="282">
        <v>118</v>
      </c>
      <c r="B122" s="282" t="s">
        <v>132</v>
      </c>
      <c r="C122" s="290">
        <v>6542.22</v>
      </c>
      <c r="D122" s="290">
        <v>5275.8206</v>
      </c>
      <c r="E122" t="s">
        <v>132</v>
      </c>
    </row>
    <row r="123" spans="1:5" ht="18.5">
      <c r="A123" s="282">
        <v>119</v>
      </c>
      <c r="B123" s="282" t="s">
        <v>134</v>
      </c>
      <c r="C123" s="290">
        <v>5750</v>
      </c>
      <c r="D123" s="290">
        <v>2897.5</v>
      </c>
      <c r="E123" t="s">
        <v>134</v>
      </c>
    </row>
    <row r="124" spans="1:5" ht="18.5">
      <c r="A124" s="282">
        <v>120</v>
      </c>
      <c r="B124" s="282" t="s">
        <v>135</v>
      </c>
      <c r="C124" s="290">
        <v>7997.09</v>
      </c>
      <c r="D124" s="290">
        <v>5375.0212000000001</v>
      </c>
      <c r="E124" t="s">
        <v>135</v>
      </c>
    </row>
    <row r="125" spans="1:5" ht="18.5">
      <c r="A125" s="282">
        <v>121</v>
      </c>
      <c r="B125" s="282" t="s">
        <v>136</v>
      </c>
      <c r="C125" s="290">
        <v>7393.65</v>
      </c>
      <c r="D125" s="290">
        <v>5877.6819999999998</v>
      </c>
      <c r="E125" t="s">
        <v>136</v>
      </c>
    </row>
    <row r="126" spans="1:5" ht="18.5">
      <c r="A126" s="282">
        <v>122</v>
      </c>
      <c r="B126" s="282" t="s">
        <v>137</v>
      </c>
      <c r="C126" s="290">
        <v>4500</v>
      </c>
      <c r="D126" s="290">
        <v>1960</v>
      </c>
      <c r="E126" t="s">
        <v>137</v>
      </c>
    </row>
    <row r="127" spans="1:5" ht="18.5">
      <c r="A127" s="282">
        <v>123</v>
      </c>
      <c r="B127" s="282" t="s">
        <v>138</v>
      </c>
      <c r="C127" s="290">
        <v>5750</v>
      </c>
      <c r="D127" s="290">
        <v>3784.5</v>
      </c>
      <c r="E127" t="s">
        <v>138</v>
      </c>
    </row>
    <row r="128" spans="1:5" ht="18.5">
      <c r="A128" s="282">
        <v>124</v>
      </c>
      <c r="B128" s="282" t="s">
        <v>139</v>
      </c>
      <c r="C128" s="290">
        <v>5000</v>
      </c>
      <c r="D128" s="290">
        <v>4150</v>
      </c>
      <c r="E128" t="s">
        <v>139</v>
      </c>
    </row>
    <row r="129" spans="1:5" ht="18.5">
      <c r="A129" s="282">
        <v>125</v>
      </c>
      <c r="B129" s="282" t="s">
        <v>140</v>
      </c>
      <c r="C129" s="290">
        <v>4500</v>
      </c>
      <c r="D129" s="290">
        <v>2872</v>
      </c>
      <c r="E129" t="s">
        <v>140</v>
      </c>
    </row>
    <row r="130" spans="1:5" ht="18.5">
      <c r="A130" s="282">
        <v>126</v>
      </c>
      <c r="B130" s="282" t="s">
        <v>142</v>
      </c>
      <c r="C130" s="290">
        <v>5750</v>
      </c>
      <c r="D130" s="290">
        <v>3981.5</v>
      </c>
      <c r="E130" t="s">
        <v>142</v>
      </c>
    </row>
    <row r="131" spans="1:5" ht="18.5">
      <c r="A131" s="282">
        <v>127</v>
      </c>
      <c r="B131" s="282" t="s">
        <v>143</v>
      </c>
      <c r="C131" s="290">
        <v>7750</v>
      </c>
      <c r="D131" s="290">
        <v>6120</v>
      </c>
      <c r="E131" t="s">
        <v>143</v>
      </c>
    </row>
    <row r="132" spans="1:5" ht="18.5">
      <c r="A132" s="282">
        <v>128</v>
      </c>
      <c r="B132" s="282" t="s">
        <v>144</v>
      </c>
      <c r="C132" s="290">
        <v>6250</v>
      </c>
      <c r="D132" s="290">
        <v>5062.5</v>
      </c>
      <c r="E132" t="s">
        <v>144</v>
      </c>
    </row>
    <row r="133" spans="1:5" ht="18.5">
      <c r="A133" s="282">
        <v>129</v>
      </c>
      <c r="B133" s="282" t="s">
        <v>145</v>
      </c>
      <c r="C133" s="290">
        <v>4200</v>
      </c>
      <c r="D133" s="290">
        <v>1937</v>
      </c>
      <c r="E133" t="s">
        <v>145</v>
      </c>
    </row>
    <row r="134" spans="1:5" ht="18.5">
      <c r="A134" s="282">
        <v>130</v>
      </c>
      <c r="B134" s="282" t="s">
        <v>146</v>
      </c>
      <c r="C134" s="290">
        <v>4350</v>
      </c>
      <c r="D134" s="290">
        <v>2762.5</v>
      </c>
      <c r="E134" t="s">
        <v>146</v>
      </c>
    </row>
    <row r="135" spans="1:5" ht="18.5">
      <c r="A135" s="282">
        <v>131</v>
      </c>
      <c r="B135" s="282" t="s">
        <v>147</v>
      </c>
      <c r="C135" s="290">
        <v>5000</v>
      </c>
      <c r="D135" s="290">
        <v>4150</v>
      </c>
      <c r="E135" t="s">
        <v>147</v>
      </c>
    </row>
    <row r="136" spans="1:5" ht="18.5">
      <c r="A136" s="282">
        <v>132</v>
      </c>
      <c r="B136" s="282" t="s">
        <v>148</v>
      </c>
      <c r="C136" s="290">
        <v>5500</v>
      </c>
      <c r="D136" s="290">
        <v>4515</v>
      </c>
      <c r="E136" t="s">
        <v>148</v>
      </c>
    </row>
    <row r="137" spans="1:5" ht="18.5">
      <c r="A137" s="282">
        <v>133</v>
      </c>
      <c r="B137" s="282" t="s">
        <v>191</v>
      </c>
      <c r="C137" s="290">
        <v>6000</v>
      </c>
      <c r="D137" s="290">
        <v>4880</v>
      </c>
      <c r="E137" t="s">
        <v>191</v>
      </c>
    </row>
    <row r="138" spans="1:5" ht="18.5">
      <c r="A138" s="282">
        <v>134</v>
      </c>
      <c r="B138" s="282" t="s">
        <v>149</v>
      </c>
      <c r="C138" s="290">
        <v>8000</v>
      </c>
      <c r="D138" s="290">
        <v>5377</v>
      </c>
      <c r="E138" t="s">
        <v>149</v>
      </c>
    </row>
    <row r="139" spans="1:5" ht="18.5">
      <c r="A139" s="282">
        <v>135</v>
      </c>
      <c r="B139" s="282" t="s">
        <v>187</v>
      </c>
      <c r="C139" s="290">
        <v>6000</v>
      </c>
      <c r="D139" s="290">
        <v>4880</v>
      </c>
      <c r="E139" t="s">
        <v>187</v>
      </c>
    </row>
    <row r="140" spans="1:5" ht="18.5">
      <c r="A140" s="282">
        <v>136</v>
      </c>
      <c r="B140" s="282" t="s">
        <v>151</v>
      </c>
      <c r="C140" s="290">
        <v>7000</v>
      </c>
      <c r="D140" s="290">
        <v>4697</v>
      </c>
      <c r="E140" t="s">
        <v>151</v>
      </c>
    </row>
    <row r="141" spans="1:5" ht="18.5">
      <c r="A141" s="282">
        <v>137</v>
      </c>
      <c r="B141" s="282" t="s">
        <v>196</v>
      </c>
      <c r="C141" s="290">
        <v>6000</v>
      </c>
      <c r="D141" s="290">
        <v>4880</v>
      </c>
      <c r="E141" t="s">
        <v>196</v>
      </c>
    </row>
    <row r="142" spans="1:5" ht="18.5">
      <c r="A142" s="282">
        <v>138</v>
      </c>
      <c r="B142" s="327" t="s">
        <v>154</v>
      </c>
      <c r="C142" s="290">
        <v>47200</v>
      </c>
      <c r="D142" s="290">
        <v>30861</v>
      </c>
      <c r="E142" t="s">
        <v>154</v>
      </c>
    </row>
    <row r="143" spans="1:5" ht="18.5">
      <c r="A143" s="282">
        <v>139</v>
      </c>
      <c r="B143" s="282" t="s">
        <v>373</v>
      </c>
      <c r="C143" s="290">
        <v>81000</v>
      </c>
      <c r="D143" s="290">
        <v>52290</v>
      </c>
      <c r="E143" t="s">
        <v>373</v>
      </c>
    </row>
    <row r="144" spans="1:5" ht="18.5">
      <c r="A144" s="282">
        <v>140</v>
      </c>
      <c r="B144" s="282" t="s">
        <v>170</v>
      </c>
      <c r="C144" s="290">
        <v>33100</v>
      </c>
      <c r="D144" s="290">
        <v>21967</v>
      </c>
      <c r="E144" t="s">
        <v>170</v>
      </c>
    </row>
    <row r="145" spans="1:8" ht="18.5">
      <c r="A145" s="282">
        <v>141</v>
      </c>
      <c r="B145" s="282" t="s">
        <v>155</v>
      </c>
      <c r="C145" s="290">
        <v>31430</v>
      </c>
      <c r="D145" s="290">
        <v>23639.4</v>
      </c>
      <c r="E145" t="s">
        <v>155</v>
      </c>
    </row>
    <row r="146" spans="1:8" ht="18.5">
      <c r="A146" s="282">
        <v>142</v>
      </c>
      <c r="B146" s="282" t="s">
        <v>268</v>
      </c>
      <c r="C146" s="290">
        <v>17000</v>
      </c>
      <c r="D146" s="290">
        <v>10337</v>
      </c>
      <c r="E146" t="s">
        <v>268</v>
      </c>
    </row>
    <row r="147" spans="1:8" ht="18.5">
      <c r="A147" s="282">
        <v>143</v>
      </c>
      <c r="B147" s="282" t="s">
        <v>156</v>
      </c>
      <c r="C147" s="290">
        <v>9703.83</v>
      </c>
      <c r="D147" s="290">
        <v>8027.8724999999995</v>
      </c>
      <c r="E147" t="s">
        <v>156</v>
      </c>
    </row>
    <row r="148" spans="1:8" ht="18.5">
      <c r="A148" s="282">
        <v>144</v>
      </c>
      <c r="B148" s="282" t="s">
        <v>157</v>
      </c>
      <c r="C148" s="290">
        <v>13057.2</v>
      </c>
      <c r="D148" s="290">
        <v>7653.0400000000009</v>
      </c>
      <c r="E148" t="s">
        <v>157</v>
      </c>
    </row>
    <row r="149" spans="1:8" ht="18.5">
      <c r="A149" s="282">
        <v>145</v>
      </c>
      <c r="B149" s="282" t="s">
        <v>158</v>
      </c>
      <c r="C149" s="290">
        <v>13543.2</v>
      </c>
      <c r="D149" s="290">
        <v>7712.2160000000003</v>
      </c>
      <c r="E149" t="s">
        <v>158</v>
      </c>
    </row>
    <row r="150" spans="1:8" ht="18.5">
      <c r="A150" s="282">
        <v>146</v>
      </c>
      <c r="B150" s="282" t="s">
        <v>159</v>
      </c>
      <c r="C150" s="290">
        <v>11300</v>
      </c>
      <c r="D150" s="290">
        <v>7775</v>
      </c>
      <c r="E150" t="s">
        <v>159</v>
      </c>
    </row>
    <row r="151" spans="1:8" ht="18.5">
      <c r="A151" s="282">
        <v>147</v>
      </c>
      <c r="B151" s="282" t="s">
        <v>174</v>
      </c>
      <c r="C151" s="290">
        <v>19023.400000000001</v>
      </c>
      <c r="D151" s="290">
        <v>10666.572</v>
      </c>
      <c r="E151" t="s">
        <v>174</v>
      </c>
    </row>
    <row r="152" spans="1:8" ht="18.5">
      <c r="A152" s="282">
        <v>148</v>
      </c>
      <c r="B152" s="282" t="s">
        <v>160</v>
      </c>
      <c r="C152" s="290">
        <v>13819.71</v>
      </c>
      <c r="D152" s="290">
        <v>6431.4172999999992</v>
      </c>
      <c r="E152" t="s">
        <v>160</v>
      </c>
    </row>
    <row r="153" spans="1:8" ht="18.5">
      <c r="A153" s="282">
        <v>149</v>
      </c>
      <c r="B153" s="282" t="s">
        <v>183</v>
      </c>
      <c r="C153" s="290">
        <v>17300</v>
      </c>
      <c r="D153" s="290">
        <v>11984</v>
      </c>
      <c r="E153" t="s">
        <v>183</v>
      </c>
    </row>
    <row r="154" spans="1:8" ht="18.5">
      <c r="A154" s="282">
        <v>150</v>
      </c>
      <c r="B154" s="282" t="s">
        <v>118</v>
      </c>
      <c r="C154" s="290">
        <v>16300</v>
      </c>
      <c r="D154" s="290">
        <v>8619</v>
      </c>
      <c r="E154" t="s">
        <v>118</v>
      </c>
      <c r="H154" s="5">
        <v>766391.66</v>
      </c>
    </row>
    <row r="155" spans="1:8" ht="18.5">
      <c r="A155" s="282">
        <v>151</v>
      </c>
      <c r="B155" s="282" t="s">
        <v>115</v>
      </c>
      <c r="C155" s="290">
        <v>12500</v>
      </c>
      <c r="D155" s="290">
        <v>7300</v>
      </c>
      <c r="E155" t="s">
        <v>115</v>
      </c>
      <c r="H155" s="5">
        <v>189238.94999999998</v>
      </c>
    </row>
    <row r="156" spans="1:8" ht="18.5">
      <c r="A156" s="282">
        <v>152</v>
      </c>
      <c r="B156" s="282" t="s">
        <v>359</v>
      </c>
      <c r="C156" s="290">
        <v>40000</v>
      </c>
      <c r="D156" s="290">
        <v>25250</v>
      </c>
      <c r="E156" t="s">
        <v>359</v>
      </c>
      <c r="H156" s="5">
        <v>223445</v>
      </c>
    </row>
    <row r="157" spans="1:8" ht="18.5">
      <c r="A157" s="282">
        <v>153</v>
      </c>
      <c r="B157" s="282" t="s">
        <v>416</v>
      </c>
      <c r="C157" s="290">
        <v>30000</v>
      </c>
      <c r="D157" s="290">
        <v>20190</v>
      </c>
      <c r="E157" t="s">
        <v>416</v>
      </c>
      <c r="H157" s="5"/>
    </row>
    <row r="158" spans="1:8" ht="18.5">
      <c r="A158" s="282">
        <v>154</v>
      </c>
      <c r="B158" s="282" t="s">
        <v>425</v>
      </c>
      <c r="C158" s="290">
        <v>35000</v>
      </c>
      <c r="D158" s="290">
        <v>33950</v>
      </c>
      <c r="E158" t="s">
        <v>425</v>
      </c>
      <c r="H158" s="5"/>
    </row>
    <row r="159" spans="1:8" ht="18.5">
      <c r="A159" s="291"/>
      <c r="B159" s="291" t="s">
        <v>6</v>
      </c>
      <c r="C159" s="292">
        <f>SUM(C5:C158)</f>
        <v>1777646.6199999996</v>
      </c>
      <c r="D159" s="292">
        <f>SUM(D5:D158)</f>
        <v>1183701.5512000001</v>
      </c>
      <c r="H159" s="5">
        <v>148859.87599999999</v>
      </c>
    </row>
    <row r="160" spans="1:8">
      <c r="D160" s="164"/>
      <c r="H160" s="5">
        <v>378277.34</v>
      </c>
    </row>
    <row r="161" spans="4:10">
      <c r="H161" s="5">
        <f>SUM(H154:H160)</f>
        <v>1706212.8259999999</v>
      </c>
    </row>
    <row r="162" spans="4:10" ht="18.5">
      <c r="D162" s="328" t="s">
        <v>15</v>
      </c>
    </row>
    <row r="163" spans="4:10">
      <c r="D163" s="5">
        <v>107683</v>
      </c>
    </row>
    <row r="164" spans="4:10" ht="15" thickBot="1">
      <c r="D164" s="5">
        <v>6000</v>
      </c>
    </row>
    <row r="165" spans="4:10" ht="17.25" customHeight="1" thickBot="1">
      <c r="D165" s="5">
        <v>22800</v>
      </c>
      <c r="F165" s="299">
        <v>1</v>
      </c>
      <c r="G165" s="297" t="s">
        <v>385</v>
      </c>
      <c r="H165" s="295">
        <v>15000</v>
      </c>
    </row>
    <row r="166" spans="4:10" ht="15.75" customHeight="1" thickBot="1">
      <c r="D166" s="5">
        <v>9800</v>
      </c>
      <c r="F166" s="300">
        <v>2</v>
      </c>
      <c r="G166" s="298" t="s">
        <v>386</v>
      </c>
      <c r="H166" s="296">
        <v>15000</v>
      </c>
      <c r="J166" s="5">
        <v>1183701.5512000001</v>
      </c>
    </row>
    <row r="167" spans="4:10" ht="18" customHeight="1" thickBot="1">
      <c r="D167" s="329">
        <f>SUM(D163:D166)</f>
        <v>146283</v>
      </c>
      <c r="F167" s="300">
        <v>3</v>
      </c>
      <c r="G167" s="298" t="s">
        <v>387</v>
      </c>
      <c r="H167" s="296">
        <v>11600</v>
      </c>
      <c r="J167" s="5">
        <v>107683</v>
      </c>
    </row>
    <row r="168" spans="4:10" ht="15.75" customHeight="1" thickBot="1">
      <c r="D168" s="329">
        <v>1183701.5512000001</v>
      </c>
      <c r="F168" s="300">
        <v>4</v>
      </c>
      <c r="G168" s="298" t="s">
        <v>388</v>
      </c>
      <c r="H168" s="296">
        <v>11600</v>
      </c>
      <c r="J168" s="5">
        <v>6000</v>
      </c>
    </row>
    <row r="169" spans="4:10" ht="21.75" customHeight="1" thickBot="1">
      <c r="D169" s="330">
        <f>SUM(D167:D168)</f>
        <v>1329984.5512000001</v>
      </c>
      <c r="F169" s="300">
        <v>5</v>
      </c>
      <c r="G169" s="298" t="s">
        <v>389</v>
      </c>
      <c r="H169" s="296">
        <v>15000</v>
      </c>
      <c r="J169" s="5">
        <v>22800</v>
      </c>
    </row>
    <row r="170" spans="4:10" ht="35.25" customHeight="1" thickBot="1">
      <c r="D170" s="164"/>
      <c r="F170" s="300">
        <v>6</v>
      </c>
      <c r="G170" s="298" t="s">
        <v>390</v>
      </c>
      <c r="H170" s="296">
        <v>11600</v>
      </c>
      <c r="J170" s="5">
        <v>9800</v>
      </c>
    </row>
    <row r="171" spans="4:10" ht="35.25" customHeight="1" thickBot="1">
      <c r="F171" s="300">
        <v>7</v>
      </c>
      <c r="G171" s="298" t="s">
        <v>391</v>
      </c>
      <c r="H171" s="296">
        <v>11600</v>
      </c>
      <c r="J171" s="5">
        <v>1329984.5512000001</v>
      </c>
    </row>
    <row r="172" spans="4:10" ht="35.25" customHeight="1" thickBot="1">
      <c r="F172" s="300">
        <v>8</v>
      </c>
      <c r="G172" s="298" t="s">
        <v>392</v>
      </c>
      <c r="H172" s="296">
        <v>11600</v>
      </c>
    </row>
    <row r="173" spans="4:10" ht="35.25" customHeight="1" thickBot="1">
      <c r="F173" s="300">
        <v>9</v>
      </c>
      <c r="G173" s="298" t="s">
        <v>393</v>
      </c>
      <c r="H173" s="296">
        <v>11600</v>
      </c>
    </row>
    <row r="174" spans="4:10" ht="35.25" customHeight="1" thickBot="1">
      <c r="F174" s="300">
        <v>10</v>
      </c>
      <c r="G174" s="298" t="s">
        <v>394</v>
      </c>
      <c r="H174" s="296">
        <v>11600</v>
      </c>
    </row>
    <row r="175" spans="4:10" ht="35.25" customHeight="1" thickBot="1">
      <c r="F175" s="300">
        <v>11</v>
      </c>
      <c r="G175" s="298" t="s">
        <v>395</v>
      </c>
      <c r="H175" s="296">
        <v>4000</v>
      </c>
    </row>
    <row r="176" spans="4:10" ht="17.5" thickBot="1">
      <c r="F176" s="300">
        <v>12</v>
      </c>
      <c r="G176" s="298" t="s">
        <v>396</v>
      </c>
      <c r="H176" s="296">
        <v>4000</v>
      </c>
    </row>
    <row r="177" spans="6:8" ht="35.25" customHeight="1" thickBot="1">
      <c r="F177" s="300">
        <v>13</v>
      </c>
      <c r="G177" s="298" t="s">
        <v>397</v>
      </c>
      <c r="H177" s="296">
        <v>4000</v>
      </c>
    </row>
    <row r="178" spans="6:8" ht="69.75" customHeight="1" thickBot="1">
      <c r="F178" s="300">
        <v>14</v>
      </c>
      <c r="G178" s="298" t="s">
        <v>398</v>
      </c>
      <c r="H178" s="296">
        <v>4000</v>
      </c>
    </row>
    <row r="179" spans="6:8" ht="52.5" customHeight="1" thickBot="1">
      <c r="F179" s="300">
        <v>15</v>
      </c>
      <c r="G179" s="298" t="s">
        <v>399</v>
      </c>
      <c r="H179" s="296">
        <v>4500</v>
      </c>
    </row>
    <row r="180" spans="6:8" ht="35.25" customHeight="1" thickBot="1">
      <c r="F180" s="300">
        <v>16</v>
      </c>
      <c r="G180" s="298" t="s">
        <v>400</v>
      </c>
      <c r="H180" s="296">
        <v>4500</v>
      </c>
    </row>
    <row r="181" spans="6:8" ht="35.25" customHeight="1" thickBot="1">
      <c r="F181" s="300">
        <v>17</v>
      </c>
      <c r="G181" s="298" t="s">
        <v>401</v>
      </c>
      <c r="H181" s="296">
        <v>13000</v>
      </c>
    </row>
    <row r="182" spans="6:8" ht="35.25" customHeight="1" thickBot="1">
      <c r="F182" s="300">
        <v>18</v>
      </c>
      <c r="G182" s="298" t="s">
        <v>402</v>
      </c>
      <c r="H182" s="296">
        <v>10000</v>
      </c>
    </row>
    <row r="183" spans="6:8" ht="35.25" customHeight="1" thickBot="1">
      <c r="F183" s="300">
        <v>19</v>
      </c>
      <c r="G183" s="298" t="s">
        <v>403</v>
      </c>
      <c r="H183" s="296">
        <v>9600</v>
      </c>
    </row>
    <row r="184" spans="6:8" ht="35.25" customHeight="1" thickBot="1">
      <c r="F184" s="300">
        <v>20</v>
      </c>
      <c r="G184" s="298" t="s">
        <v>404</v>
      </c>
      <c r="H184" s="296">
        <v>12000</v>
      </c>
    </row>
    <row r="185" spans="6:8" ht="35.25" customHeight="1" thickBot="1">
      <c r="F185" s="300">
        <v>21</v>
      </c>
      <c r="G185" s="298" t="s">
        <v>405</v>
      </c>
      <c r="H185" s="296">
        <v>5500</v>
      </c>
    </row>
    <row r="186" spans="6:8" ht="35.25" customHeight="1" thickBot="1">
      <c r="F186" s="300">
        <v>22</v>
      </c>
      <c r="G186" s="298" t="s">
        <v>406</v>
      </c>
      <c r="H186" s="296">
        <v>5500</v>
      </c>
    </row>
    <row r="187" spans="6:8" ht="35.25" customHeight="1" thickBot="1">
      <c r="F187" s="300">
        <v>23</v>
      </c>
      <c r="G187" s="298" t="s">
        <v>407</v>
      </c>
      <c r="H187" s="296">
        <v>16000</v>
      </c>
    </row>
    <row r="188" spans="6:8" ht="35.25" customHeight="1" thickBot="1">
      <c r="F188" s="300">
        <v>24</v>
      </c>
      <c r="G188" s="298" t="s">
        <v>408</v>
      </c>
      <c r="H188" s="296">
        <v>11600</v>
      </c>
    </row>
    <row r="189" spans="6:8" ht="69.75" customHeight="1" thickBot="1">
      <c r="F189" s="300">
        <v>25</v>
      </c>
      <c r="G189" s="298" t="s">
        <v>409</v>
      </c>
      <c r="H189" s="296">
        <v>4000</v>
      </c>
    </row>
    <row r="190" spans="6:8" ht="35.25" customHeight="1" thickBot="1">
      <c r="F190" s="300">
        <v>26</v>
      </c>
      <c r="G190" s="298" t="s">
        <v>410</v>
      </c>
      <c r="H190" s="296">
        <v>3500</v>
      </c>
    </row>
    <row r="191" spans="6:8" ht="35.25" customHeight="1" thickBot="1">
      <c r="F191" s="300">
        <v>27</v>
      </c>
      <c r="G191" s="298" t="s">
        <v>411</v>
      </c>
      <c r="H191" s="296">
        <v>4000</v>
      </c>
    </row>
    <row r="192" spans="6:8" ht="35.25" customHeight="1" thickBot="1">
      <c r="F192" s="300">
        <v>28</v>
      </c>
      <c r="G192" s="298" t="s">
        <v>412</v>
      </c>
      <c r="H192" s="296">
        <v>4000</v>
      </c>
    </row>
    <row r="193" spans="6:8" ht="35.25" customHeight="1" thickBot="1">
      <c r="F193" s="300">
        <v>29</v>
      </c>
      <c r="G193" s="298" t="s">
        <v>413</v>
      </c>
      <c r="H193" s="296">
        <v>11600</v>
      </c>
    </row>
    <row r="194" spans="6:8" ht="35.25" customHeight="1" thickBot="1">
      <c r="F194" s="300">
        <v>30</v>
      </c>
      <c r="G194" s="298" t="s">
        <v>414</v>
      </c>
      <c r="H194" s="296">
        <v>11600</v>
      </c>
    </row>
    <row r="195" spans="6:8" ht="35.25" customHeight="1" thickBot="1">
      <c r="F195" s="300">
        <v>31</v>
      </c>
      <c r="G195" s="298" t="s">
        <v>415</v>
      </c>
      <c r="H195" s="296">
        <v>3000</v>
      </c>
    </row>
    <row r="196" spans="6:8">
      <c r="H196" s="294">
        <f>SUM(H165:H195)</f>
        <v>276100</v>
      </c>
    </row>
  </sheetData>
  <mergeCells count="2">
    <mergeCell ref="A2:D3"/>
    <mergeCell ref="A1:E1"/>
  </mergeCells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6"/>
  <sheetViews>
    <sheetView workbookViewId="0">
      <selection sqref="A1:E45"/>
    </sheetView>
  </sheetViews>
  <sheetFormatPr defaultRowHeight="14.5"/>
  <cols>
    <col min="1" max="1" width="5.26953125" customWidth="1"/>
    <col min="2" max="2" width="28.54296875" customWidth="1"/>
    <col min="3" max="3" width="23.1796875" customWidth="1"/>
    <col min="4" max="4" width="23.453125" customWidth="1"/>
  </cols>
  <sheetData>
    <row r="1" spans="1:5" ht="15" thickTop="1">
      <c r="A1" s="786" t="s">
        <v>1</v>
      </c>
      <c r="B1" s="788" t="s">
        <v>2</v>
      </c>
      <c r="C1" s="790" t="s">
        <v>167</v>
      </c>
      <c r="D1" s="792" t="s">
        <v>3</v>
      </c>
    </row>
    <row r="2" spans="1:5" ht="15" thickBot="1">
      <c r="A2" s="787"/>
      <c r="B2" s="789"/>
      <c r="C2" s="791"/>
      <c r="D2" s="793"/>
    </row>
    <row r="3" spans="1:5" ht="17.5">
      <c r="A3" s="1">
        <v>1</v>
      </c>
      <c r="B3" s="168" t="s">
        <v>174</v>
      </c>
      <c r="C3" s="175" t="s">
        <v>287</v>
      </c>
      <c r="D3" s="305">
        <v>66000</v>
      </c>
    </row>
    <row r="4" spans="1:5" ht="17.5">
      <c r="A4" s="1">
        <v>2</v>
      </c>
      <c r="B4" s="129" t="s">
        <v>157</v>
      </c>
      <c r="C4" s="176" t="s">
        <v>322</v>
      </c>
      <c r="D4" s="305">
        <v>66000</v>
      </c>
    </row>
    <row r="5" spans="1:5" ht="17.5">
      <c r="A5" s="1">
        <v>3</v>
      </c>
      <c r="B5" s="168" t="s">
        <v>29</v>
      </c>
      <c r="C5" s="175" t="s">
        <v>238</v>
      </c>
      <c r="D5" s="305">
        <v>66000</v>
      </c>
    </row>
    <row r="6" spans="1:5" ht="17.5">
      <c r="A6" s="1">
        <v>4</v>
      </c>
      <c r="B6" s="129" t="s">
        <v>52</v>
      </c>
      <c r="C6" s="176" t="s">
        <v>235</v>
      </c>
      <c r="D6" s="305">
        <v>66000</v>
      </c>
    </row>
    <row r="7" spans="1:5" ht="18.5">
      <c r="A7" s="282">
        <v>5</v>
      </c>
      <c r="B7" s="291" t="s">
        <v>39</v>
      </c>
      <c r="C7" s="291" t="s">
        <v>232</v>
      </c>
      <c r="D7" s="305">
        <v>66000</v>
      </c>
    </row>
    <row r="8" spans="1:5" ht="21">
      <c r="A8" s="302"/>
      <c r="B8" s="302"/>
      <c r="C8" s="302"/>
      <c r="D8" s="306">
        <f>SUM(D3:D7)</f>
        <v>330000</v>
      </c>
    </row>
    <row r="9" spans="1:5">
      <c r="A9" s="307" t="s">
        <v>182</v>
      </c>
      <c r="B9" s="307"/>
      <c r="C9" s="307"/>
      <c r="D9" s="307"/>
      <c r="E9" s="307"/>
    </row>
    <row r="10" spans="1:5">
      <c r="A10" s="307" t="s">
        <v>5</v>
      </c>
      <c r="B10" s="307"/>
      <c r="C10" s="307"/>
      <c r="E10" s="307"/>
    </row>
    <row r="11" spans="1:5">
      <c r="A11" s="307"/>
      <c r="B11" s="307"/>
      <c r="C11" s="307"/>
      <c r="D11" s="307"/>
      <c r="E11" s="307"/>
    </row>
    <row r="12" spans="1:5">
      <c r="A12" s="307"/>
      <c r="B12" s="307"/>
      <c r="C12" s="307"/>
      <c r="D12" s="307"/>
      <c r="E12" s="307"/>
    </row>
    <row r="13" spans="1:5">
      <c r="A13" s="307"/>
      <c r="B13" s="307" t="s">
        <v>181</v>
      </c>
      <c r="C13" s="307"/>
      <c r="D13" s="307"/>
      <c r="E13" s="307"/>
    </row>
    <row r="14" spans="1:5">
      <c r="A14" s="307"/>
      <c r="B14" s="307" t="s">
        <v>198</v>
      </c>
      <c r="C14" s="307" t="s">
        <v>360</v>
      </c>
      <c r="D14" s="307"/>
      <c r="E14" s="307"/>
    </row>
    <row r="15" spans="1:5">
      <c r="A15" s="307"/>
      <c r="B15" s="307"/>
      <c r="C15" s="307"/>
      <c r="D15" s="307"/>
      <c r="E15" s="307"/>
    </row>
    <row r="16" spans="1:5">
      <c r="A16" s="307"/>
      <c r="B16" s="307"/>
      <c r="C16" s="307" t="s">
        <v>198</v>
      </c>
      <c r="D16" s="307"/>
      <c r="E16" s="307"/>
    </row>
  </sheetData>
  <mergeCells count="4">
    <mergeCell ref="A1:A2"/>
    <mergeCell ref="B1:B2"/>
    <mergeCell ref="C1:C2"/>
    <mergeCell ref="D1:D2"/>
  </mergeCells>
  <pageMargins left="0.7" right="0.7" top="0.75" bottom="0.75" header="0.3" footer="0.3"/>
  <pageSetup orientation="portrait" horizontalDpi="0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K158"/>
  <sheetViews>
    <sheetView zoomScaleNormal="100" workbookViewId="0">
      <selection activeCell="M16" sqref="M16"/>
    </sheetView>
  </sheetViews>
  <sheetFormatPr defaultRowHeight="14.5"/>
  <cols>
    <col min="1" max="1" width="19" customWidth="1"/>
    <col min="2" max="2" width="13.81640625" customWidth="1"/>
    <col min="3" max="3" width="6.453125" customWidth="1"/>
    <col min="4" max="4" width="6.7265625" customWidth="1"/>
    <col min="5" max="5" width="6.54296875" customWidth="1"/>
    <col min="6" max="6" width="11.453125" customWidth="1"/>
    <col min="7" max="7" width="13.453125" bestFit="1" customWidth="1"/>
    <col min="8" max="10" width="9.26953125" bestFit="1" customWidth="1"/>
    <col min="11" max="11" width="15.1796875" bestFit="1" customWidth="1"/>
  </cols>
  <sheetData>
    <row r="2" spans="1:11">
      <c r="A2" s="816" t="s">
        <v>471</v>
      </c>
      <c r="B2" s="816"/>
      <c r="C2" s="816"/>
      <c r="D2" s="816"/>
      <c r="E2" s="816"/>
      <c r="F2" s="816"/>
      <c r="G2" s="816"/>
      <c r="H2" s="816"/>
      <c r="I2" s="816"/>
      <c r="J2" s="816"/>
      <c r="K2" s="816"/>
    </row>
    <row r="3" spans="1:11" s="307" customFormat="1" ht="29">
      <c r="A3" s="474" t="s">
        <v>469</v>
      </c>
      <c r="B3" s="474" t="s">
        <v>17</v>
      </c>
      <c r="C3" s="478" t="s">
        <v>475</v>
      </c>
      <c r="D3" s="478" t="s">
        <v>21</v>
      </c>
      <c r="E3" s="478" t="s">
        <v>474</v>
      </c>
      <c r="F3" s="478" t="s">
        <v>472</v>
      </c>
      <c r="G3" s="478" t="s">
        <v>473</v>
      </c>
      <c r="H3" s="474" t="s">
        <v>152</v>
      </c>
      <c r="I3" s="474" t="s">
        <v>153</v>
      </c>
      <c r="J3" s="474" t="s">
        <v>355</v>
      </c>
      <c r="K3" s="474" t="s">
        <v>193</v>
      </c>
    </row>
    <row r="4" spans="1:11">
      <c r="A4" s="474" t="s">
        <v>29</v>
      </c>
      <c r="B4" s="477">
        <v>12910.65</v>
      </c>
      <c r="C4" s="262"/>
      <c r="D4" s="474">
        <v>1000</v>
      </c>
      <c r="E4" s="303"/>
      <c r="F4" s="479">
        <f>B4*0.07</f>
        <v>903.74550000000011</v>
      </c>
      <c r="G4" s="479">
        <f>B4*0.11</f>
        <v>1420.1714999999999</v>
      </c>
      <c r="H4" s="303"/>
      <c r="I4" s="303"/>
      <c r="J4" s="303"/>
      <c r="K4" s="479">
        <f>B4-F4-G4</f>
        <v>10586.732999999998</v>
      </c>
    </row>
    <row r="5" spans="1:11">
      <c r="A5" s="474" t="s">
        <v>31</v>
      </c>
      <c r="B5" s="477">
        <v>13182.13</v>
      </c>
      <c r="C5" s="262"/>
      <c r="D5" s="474">
        <v>1000</v>
      </c>
      <c r="E5" s="303"/>
      <c r="F5" s="479">
        <f t="shared" ref="F5:F68" si="0">B5*0.07</f>
        <v>922.7491</v>
      </c>
      <c r="G5" s="479">
        <f>B5*0.11</f>
        <v>1450.0343</v>
      </c>
      <c r="H5" s="303"/>
      <c r="I5" s="303"/>
      <c r="J5" s="303"/>
      <c r="K5" s="479">
        <f t="shared" ref="K5:K68" si="1">B5-F5-G5</f>
        <v>10809.346600000001</v>
      </c>
    </row>
    <row r="6" spans="1:11">
      <c r="A6" s="474" t="s">
        <v>32</v>
      </c>
      <c r="B6" s="477">
        <v>15274.86</v>
      </c>
      <c r="C6" s="261"/>
      <c r="D6" s="474"/>
      <c r="E6" s="303"/>
      <c r="F6" s="479">
        <f t="shared" si="0"/>
        <v>1069.2402000000002</v>
      </c>
      <c r="G6" s="479">
        <f t="shared" ref="G6:G69" si="2">B6*0.11</f>
        <v>1680.2346</v>
      </c>
      <c r="H6" s="303"/>
      <c r="I6" s="303"/>
      <c r="J6" s="303"/>
      <c r="K6" s="479">
        <f t="shared" si="1"/>
        <v>12525.385200000001</v>
      </c>
    </row>
    <row r="7" spans="1:11">
      <c r="A7" s="474" t="s">
        <v>33</v>
      </c>
      <c r="B7" s="477">
        <v>13477</v>
      </c>
      <c r="C7" s="261"/>
      <c r="D7" s="474"/>
      <c r="E7" s="303"/>
      <c r="F7" s="479">
        <f t="shared" si="0"/>
        <v>943.3900000000001</v>
      </c>
      <c r="G7" s="479">
        <f t="shared" si="2"/>
        <v>1482.47</v>
      </c>
      <c r="H7" s="303"/>
      <c r="I7" s="303"/>
      <c r="J7" s="303"/>
      <c r="K7" s="479">
        <f t="shared" si="1"/>
        <v>11051.140000000001</v>
      </c>
    </row>
    <row r="8" spans="1:11">
      <c r="A8" s="474" t="s">
        <v>35</v>
      </c>
      <c r="B8" s="477">
        <v>13489.3</v>
      </c>
      <c r="C8" s="261"/>
      <c r="D8" s="474"/>
      <c r="E8" s="303"/>
      <c r="F8" s="479">
        <f t="shared" si="0"/>
        <v>944.25100000000009</v>
      </c>
      <c r="G8" s="479">
        <f t="shared" si="2"/>
        <v>1483.8229999999999</v>
      </c>
      <c r="H8" s="303"/>
      <c r="I8" s="303"/>
      <c r="J8" s="303"/>
      <c r="K8" s="479">
        <f t="shared" si="1"/>
        <v>11061.225999999999</v>
      </c>
    </row>
    <row r="9" spans="1:11">
      <c r="A9" s="474" t="s">
        <v>36</v>
      </c>
      <c r="B9" s="477">
        <v>17210</v>
      </c>
      <c r="C9" s="261"/>
      <c r="D9" s="474">
        <v>1000</v>
      </c>
      <c r="E9" s="303"/>
      <c r="F9" s="479">
        <f t="shared" si="0"/>
        <v>1204.7</v>
      </c>
      <c r="G9" s="479">
        <f t="shared" si="2"/>
        <v>1893.1</v>
      </c>
      <c r="H9" s="303"/>
      <c r="I9" s="303"/>
      <c r="J9" s="303"/>
      <c r="K9" s="479">
        <f t="shared" si="1"/>
        <v>14112.199999999999</v>
      </c>
    </row>
    <row r="10" spans="1:11">
      <c r="A10" s="474" t="s">
        <v>37</v>
      </c>
      <c r="B10" s="477">
        <v>12978.21</v>
      </c>
      <c r="C10" s="261"/>
      <c r="D10" s="474"/>
      <c r="E10" s="303"/>
      <c r="F10" s="479">
        <f t="shared" si="0"/>
        <v>908.47469999999998</v>
      </c>
      <c r="G10" s="479">
        <f t="shared" si="2"/>
        <v>1427.6030999999998</v>
      </c>
      <c r="H10" s="303"/>
      <c r="I10" s="303"/>
      <c r="J10" s="303"/>
      <c r="K10" s="479">
        <f t="shared" si="1"/>
        <v>10642.132199999998</v>
      </c>
    </row>
    <row r="11" spans="1:11">
      <c r="A11" s="474" t="s">
        <v>38</v>
      </c>
      <c r="B11" s="477">
        <v>16015.97</v>
      </c>
      <c r="C11" s="261"/>
      <c r="D11" s="474">
        <v>1000</v>
      </c>
      <c r="E11" s="303"/>
      <c r="F11" s="479">
        <f t="shared" si="0"/>
        <v>1121.1179</v>
      </c>
      <c r="G11" s="479">
        <f t="shared" si="2"/>
        <v>1761.7566999999999</v>
      </c>
      <c r="H11" s="303"/>
      <c r="I11" s="303"/>
      <c r="J11" s="303"/>
      <c r="K11" s="479">
        <f t="shared" si="1"/>
        <v>13133.0954</v>
      </c>
    </row>
    <row r="12" spans="1:11">
      <c r="A12" s="474" t="s">
        <v>39</v>
      </c>
      <c r="B12" s="477">
        <v>13278.21</v>
      </c>
      <c r="C12" s="261"/>
      <c r="D12" s="474"/>
      <c r="E12" s="303"/>
      <c r="F12" s="479">
        <f t="shared" si="0"/>
        <v>929.47469999999998</v>
      </c>
      <c r="G12" s="479">
        <f t="shared" si="2"/>
        <v>1460.6030999999998</v>
      </c>
      <c r="H12" s="303"/>
      <c r="I12" s="303"/>
      <c r="J12" s="303"/>
      <c r="K12" s="479">
        <f t="shared" si="1"/>
        <v>10888.132199999998</v>
      </c>
    </row>
    <row r="13" spans="1:11">
      <c r="A13" s="474" t="s">
        <v>40</v>
      </c>
      <c r="B13" s="477">
        <v>21329</v>
      </c>
      <c r="C13" s="261"/>
      <c r="D13" s="474">
        <v>1000</v>
      </c>
      <c r="E13" s="303"/>
      <c r="F13" s="479">
        <f t="shared" si="0"/>
        <v>1493.0300000000002</v>
      </c>
      <c r="G13" s="479">
        <f t="shared" si="2"/>
        <v>2346.19</v>
      </c>
      <c r="H13" s="303"/>
      <c r="I13" s="303"/>
      <c r="J13" s="303"/>
      <c r="K13" s="479">
        <f t="shared" si="1"/>
        <v>17489.780000000002</v>
      </c>
    </row>
    <row r="14" spans="1:11">
      <c r="A14" s="474" t="s">
        <v>41</v>
      </c>
      <c r="B14" s="477">
        <v>13305.77</v>
      </c>
      <c r="C14" s="261"/>
      <c r="D14" s="474"/>
      <c r="E14" s="303"/>
      <c r="F14" s="479">
        <f t="shared" si="0"/>
        <v>931.40390000000014</v>
      </c>
      <c r="G14" s="479">
        <f t="shared" si="2"/>
        <v>1463.6347000000001</v>
      </c>
      <c r="H14" s="303"/>
      <c r="I14" s="303"/>
      <c r="J14" s="303"/>
      <c r="K14" s="479">
        <f t="shared" si="1"/>
        <v>10910.731400000001</v>
      </c>
    </row>
    <row r="15" spans="1:11">
      <c r="A15" s="474" t="s">
        <v>42</v>
      </c>
      <c r="B15" s="477">
        <v>9880.2999999999993</v>
      </c>
      <c r="C15" s="261"/>
      <c r="D15" s="474"/>
      <c r="E15" s="303"/>
      <c r="F15" s="479">
        <f t="shared" si="0"/>
        <v>691.62099999999998</v>
      </c>
      <c r="G15" s="479">
        <f t="shared" si="2"/>
        <v>1086.8329999999999</v>
      </c>
      <c r="H15" s="303"/>
      <c r="I15" s="303"/>
      <c r="J15" s="303"/>
      <c r="K15" s="479">
        <f t="shared" si="1"/>
        <v>8101.8460000000005</v>
      </c>
    </row>
    <row r="16" spans="1:11">
      <c r="A16" s="474" t="s">
        <v>43</v>
      </c>
      <c r="B16" s="477">
        <v>13404.59</v>
      </c>
      <c r="C16" s="261"/>
      <c r="D16" s="474"/>
      <c r="E16" s="303"/>
      <c r="F16" s="479">
        <f t="shared" si="0"/>
        <v>938.32130000000006</v>
      </c>
      <c r="G16" s="479">
        <f t="shared" si="2"/>
        <v>1474.5049000000001</v>
      </c>
      <c r="H16" s="303"/>
      <c r="I16" s="303"/>
      <c r="J16" s="303"/>
      <c r="K16" s="479">
        <f t="shared" si="1"/>
        <v>10991.763800000001</v>
      </c>
    </row>
    <row r="17" spans="1:11">
      <c r="A17" s="474" t="s">
        <v>44</v>
      </c>
      <c r="B17" s="477">
        <v>10330.18</v>
      </c>
      <c r="C17" s="261"/>
      <c r="D17" s="474"/>
      <c r="E17" s="303"/>
      <c r="F17" s="479">
        <f t="shared" si="0"/>
        <v>723.11260000000004</v>
      </c>
      <c r="G17" s="479">
        <f t="shared" si="2"/>
        <v>1136.3198</v>
      </c>
      <c r="H17" s="303"/>
      <c r="I17" s="303"/>
      <c r="J17" s="303"/>
      <c r="K17" s="479">
        <f t="shared" si="1"/>
        <v>8470.7476000000006</v>
      </c>
    </row>
    <row r="18" spans="1:11">
      <c r="A18" s="474" t="s">
        <v>45</v>
      </c>
      <c r="B18" s="477">
        <v>12810.18</v>
      </c>
      <c r="C18" s="262"/>
      <c r="D18" s="474"/>
      <c r="E18" s="480">
        <v>1500</v>
      </c>
      <c r="F18" s="479">
        <f t="shared" si="0"/>
        <v>896.71260000000007</v>
      </c>
      <c r="G18" s="479">
        <f t="shared" si="2"/>
        <v>1409.1197999999999</v>
      </c>
      <c r="H18" s="303"/>
      <c r="I18" s="303"/>
      <c r="J18" s="303"/>
      <c r="K18" s="479">
        <f t="shared" si="1"/>
        <v>10504.347599999999</v>
      </c>
    </row>
    <row r="19" spans="1:11">
      <c r="A19" s="474" t="s">
        <v>46</v>
      </c>
      <c r="B19" s="477">
        <v>10030</v>
      </c>
      <c r="C19" s="262"/>
      <c r="D19" s="474"/>
      <c r="E19" s="303"/>
      <c r="F19" s="479">
        <f t="shared" si="0"/>
        <v>702.1</v>
      </c>
      <c r="G19" s="479">
        <f t="shared" si="2"/>
        <v>1103.3</v>
      </c>
      <c r="H19" s="303"/>
      <c r="I19" s="303"/>
      <c r="J19" s="303"/>
      <c r="K19" s="479">
        <f t="shared" si="1"/>
        <v>8224.6</v>
      </c>
    </row>
    <row r="20" spans="1:11">
      <c r="A20" s="474" t="s">
        <v>47</v>
      </c>
      <c r="B20" s="477">
        <v>9618.89</v>
      </c>
      <c r="C20" s="262"/>
      <c r="D20" s="474"/>
      <c r="E20" s="303"/>
      <c r="F20" s="479">
        <f t="shared" si="0"/>
        <v>673.32230000000004</v>
      </c>
      <c r="G20" s="479">
        <f t="shared" si="2"/>
        <v>1058.0779</v>
      </c>
      <c r="H20" s="303"/>
      <c r="I20" s="303"/>
      <c r="J20" s="303"/>
      <c r="K20" s="479">
        <f t="shared" si="1"/>
        <v>7887.4897999999994</v>
      </c>
    </row>
    <row r="21" spans="1:11">
      <c r="A21" s="474" t="s">
        <v>48</v>
      </c>
      <c r="B21" s="477">
        <v>9002</v>
      </c>
      <c r="C21" s="261"/>
      <c r="D21" s="474"/>
      <c r="E21" s="303"/>
      <c r="F21" s="479">
        <f t="shared" si="0"/>
        <v>630.1400000000001</v>
      </c>
      <c r="G21" s="479">
        <f t="shared" si="2"/>
        <v>990.22</v>
      </c>
      <c r="H21" s="303"/>
      <c r="I21" s="303"/>
      <c r="J21" s="303"/>
      <c r="K21" s="479">
        <f t="shared" si="1"/>
        <v>7381.64</v>
      </c>
    </row>
    <row r="22" spans="1:11">
      <c r="A22" s="474" t="s">
        <v>49</v>
      </c>
      <c r="B22" s="477">
        <v>11822</v>
      </c>
      <c r="C22" s="262"/>
      <c r="D22" s="474"/>
      <c r="E22" s="303"/>
      <c r="F22" s="479">
        <f t="shared" si="0"/>
        <v>827.54000000000008</v>
      </c>
      <c r="G22" s="479">
        <f t="shared" si="2"/>
        <v>1300.42</v>
      </c>
      <c r="H22" s="303"/>
      <c r="I22" s="303"/>
      <c r="J22" s="303"/>
      <c r="K22" s="479">
        <f t="shared" si="1"/>
        <v>9694.0399999999991</v>
      </c>
    </row>
    <row r="23" spans="1:11">
      <c r="A23" s="474" t="s">
        <v>50</v>
      </c>
      <c r="B23" s="477">
        <v>11203.04</v>
      </c>
      <c r="C23" s="261"/>
      <c r="D23" s="474">
        <v>1000</v>
      </c>
      <c r="E23" s="303"/>
      <c r="F23" s="479">
        <f t="shared" si="0"/>
        <v>784.21280000000013</v>
      </c>
      <c r="G23" s="479">
        <f t="shared" si="2"/>
        <v>1232.3344000000002</v>
      </c>
      <c r="H23" s="303"/>
      <c r="I23" s="303"/>
      <c r="J23" s="303"/>
      <c r="K23" s="479">
        <f t="shared" si="1"/>
        <v>9186.4928000000018</v>
      </c>
    </row>
    <row r="24" spans="1:11">
      <c r="A24" s="474" t="s">
        <v>51</v>
      </c>
      <c r="B24" s="477">
        <v>9002</v>
      </c>
      <c r="C24" s="262"/>
      <c r="D24" s="474"/>
      <c r="E24" s="303"/>
      <c r="F24" s="479">
        <f t="shared" si="0"/>
        <v>630.1400000000001</v>
      </c>
      <c r="G24" s="479">
        <f t="shared" si="2"/>
        <v>990.22</v>
      </c>
      <c r="H24" s="303"/>
      <c r="I24" s="303"/>
      <c r="J24" s="303"/>
      <c r="K24" s="479">
        <f t="shared" si="1"/>
        <v>7381.64</v>
      </c>
    </row>
    <row r="25" spans="1:11">
      <c r="A25" s="474" t="s">
        <v>52</v>
      </c>
      <c r="B25" s="477">
        <v>10825.57</v>
      </c>
      <c r="C25" s="337"/>
      <c r="D25" s="474"/>
      <c r="E25" s="303"/>
      <c r="F25" s="479">
        <f t="shared" si="0"/>
        <v>757.7899000000001</v>
      </c>
      <c r="G25" s="479">
        <f t="shared" si="2"/>
        <v>1190.8126999999999</v>
      </c>
      <c r="H25" s="303"/>
      <c r="I25" s="303"/>
      <c r="J25" s="303"/>
      <c r="K25" s="479">
        <f t="shared" si="1"/>
        <v>8876.9673999999995</v>
      </c>
    </row>
    <row r="26" spans="1:11">
      <c r="A26" s="474" t="s">
        <v>53</v>
      </c>
      <c r="B26" s="477">
        <v>9002</v>
      </c>
      <c r="C26" s="262"/>
      <c r="D26" s="474"/>
      <c r="E26" s="303"/>
      <c r="F26" s="479">
        <f t="shared" si="0"/>
        <v>630.1400000000001</v>
      </c>
      <c r="G26" s="479">
        <f t="shared" si="2"/>
        <v>990.22</v>
      </c>
      <c r="H26" s="303"/>
      <c r="I26" s="303"/>
      <c r="J26" s="303"/>
      <c r="K26" s="479">
        <f t="shared" si="1"/>
        <v>7381.64</v>
      </c>
    </row>
    <row r="27" spans="1:11">
      <c r="A27" s="474" t="s">
        <v>367</v>
      </c>
      <c r="B27" s="477">
        <v>13642.4</v>
      </c>
      <c r="C27" s="261"/>
      <c r="D27" s="474"/>
      <c r="E27" s="303"/>
      <c r="F27" s="479">
        <f t="shared" si="0"/>
        <v>954.96800000000007</v>
      </c>
      <c r="G27" s="479">
        <f t="shared" si="2"/>
        <v>1500.664</v>
      </c>
      <c r="H27" s="303"/>
      <c r="I27" s="303"/>
      <c r="J27" s="303"/>
      <c r="K27" s="479">
        <f t="shared" si="1"/>
        <v>11186.767999999998</v>
      </c>
    </row>
    <row r="28" spans="1:11">
      <c r="A28" s="474" t="s">
        <v>54</v>
      </c>
      <c r="B28" s="477">
        <v>9002</v>
      </c>
      <c r="C28" s="261"/>
      <c r="D28" s="474"/>
      <c r="E28" s="303"/>
      <c r="F28" s="479">
        <f t="shared" si="0"/>
        <v>630.1400000000001</v>
      </c>
      <c r="G28" s="479">
        <f t="shared" si="2"/>
        <v>990.22</v>
      </c>
      <c r="H28" s="303"/>
      <c r="I28" s="303"/>
      <c r="J28" s="303"/>
      <c r="K28" s="479">
        <f t="shared" si="1"/>
        <v>7381.64</v>
      </c>
    </row>
    <row r="29" spans="1:11">
      <c r="A29" s="474" t="s">
        <v>55</v>
      </c>
      <c r="B29" s="477">
        <v>9000</v>
      </c>
      <c r="C29" s="261"/>
      <c r="D29" s="474"/>
      <c r="E29" s="303"/>
      <c r="F29" s="479">
        <f t="shared" si="0"/>
        <v>630.00000000000011</v>
      </c>
      <c r="G29" s="479">
        <f t="shared" si="2"/>
        <v>990</v>
      </c>
      <c r="H29" s="303"/>
      <c r="I29" s="303"/>
      <c r="J29" s="303"/>
      <c r="K29" s="479">
        <f t="shared" si="1"/>
        <v>7380</v>
      </c>
    </row>
    <row r="30" spans="1:11">
      <c r="A30" s="474" t="s">
        <v>56</v>
      </c>
      <c r="B30" s="477">
        <v>13000</v>
      </c>
      <c r="C30" s="261"/>
      <c r="D30" s="474"/>
      <c r="E30" s="303"/>
      <c r="F30" s="479">
        <f t="shared" si="0"/>
        <v>910.00000000000011</v>
      </c>
      <c r="G30" s="479">
        <f t="shared" si="2"/>
        <v>1430</v>
      </c>
      <c r="H30" s="303"/>
      <c r="I30" s="303"/>
      <c r="J30" s="303"/>
      <c r="K30" s="479">
        <f t="shared" si="1"/>
        <v>10660</v>
      </c>
    </row>
    <row r="31" spans="1:11">
      <c r="A31" s="474" t="s">
        <v>57</v>
      </c>
      <c r="B31" s="477">
        <v>10500</v>
      </c>
      <c r="C31" s="476">
        <v>2000</v>
      </c>
      <c r="D31" s="474"/>
      <c r="E31" s="303"/>
      <c r="F31" s="479">
        <f t="shared" si="0"/>
        <v>735.00000000000011</v>
      </c>
      <c r="G31" s="479">
        <f t="shared" si="2"/>
        <v>1155</v>
      </c>
      <c r="H31" s="303"/>
      <c r="I31" s="303"/>
      <c r="J31" s="303"/>
      <c r="K31" s="479">
        <f t="shared" si="1"/>
        <v>8610</v>
      </c>
    </row>
    <row r="32" spans="1:11">
      <c r="A32" s="474" t="s">
        <v>59</v>
      </c>
      <c r="B32" s="477">
        <v>9200</v>
      </c>
      <c r="C32" s="261"/>
      <c r="D32" s="474"/>
      <c r="E32" s="303"/>
      <c r="F32" s="479">
        <f t="shared" si="0"/>
        <v>644.00000000000011</v>
      </c>
      <c r="G32" s="479">
        <f t="shared" si="2"/>
        <v>1012</v>
      </c>
      <c r="H32" s="303"/>
      <c r="I32" s="303"/>
      <c r="J32" s="303"/>
      <c r="K32" s="479">
        <f t="shared" si="1"/>
        <v>7544</v>
      </c>
    </row>
    <row r="33" spans="1:11">
      <c r="A33" s="474" t="s">
        <v>347</v>
      </c>
      <c r="B33" s="477">
        <v>10000</v>
      </c>
      <c r="C33" s="337"/>
      <c r="D33" s="474"/>
      <c r="E33" s="303"/>
      <c r="F33" s="479">
        <f t="shared" si="0"/>
        <v>700.00000000000011</v>
      </c>
      <c r="G33" s="479">
        <f t="shared" si="2"/>
        <v>1100</v>
      </c>
      <c r="H33" s="303"/>
      <c r="I33" s="303"/>
      <c r="J33" s="303"/>
      <c r="K33" s="479">
        <f t="shared" si="1"/>
        <v>8200</v>
      </c>
    </row>
    <row r="34" spans="1:11">
      <c r="A34" s="474" t="s">
        <v>358</v>
      </c>
      <c r="B34" s="477">
        <v>12500</v>
      </c>
      <c r="C34" s="262"/>
      <c r="D34" s="474"/>
      <c r="E34" s="303"/>
      <c r="F34" s="479">
        <f t="shared" si="0"/>
        <v>875.00000000000011</v>
      </c>
      <c r="G34" s="479">
        <f t="shared" si="2"/>
        <v>1375</v>
      </c>
      <c r="H34" s="303"/>
      <c r="I34" s="303"/>
      <c r="J34" s="303"/>
      <c r="K34" s="479">
        <f t="shared" si="1"/>
        <v>10250</v>
      </c>
    </row>
    <row r="35" spans="1:11">
      <c r="A35" s="474" t="s">
        <v>62</v>
      </c>
      <c r="B35" s="477">
        <v>9000</v>
      </c>
      <c r="C35" s="262"/>
      <c r="D35" s="474"/>
      <c r="E35" s="303"/>
      <c r="F35" s="479">
        <f t="shared" si="0"/>
        <v>630.00000000000011</v>
      </c>
      <c r="G35" s="479">
        <f t="shared" si="2"/>
        <v>990</v>
      </c>
      <c r="H35" s="303"/>
      <c r="I35" s="303"/>
      <c r="J35" s="303"/>
      <c r="K35" s="479">
        <f t="shared" si="1"/>
        <v>7380</v>
      </c>
    </row>
    <row r="36" spans="1:11">
      <c r="A36" s="474" t="s">
        <v>348</v>
      </c>
      <c r="B36" s="477">
        <v>14000</v>
      </c>
      <c r="C36" s="261"/>
      <c r="D36" s="474"/>
      <c r="E36" s="303"/>
      <c r="F36" s="479">
        <f t="shared" si="0"/>
        <v>980.00000000000011</v>
      </c>
      <c r="G36" s="479">
        <f t="shared" si="2"/>
        <v>1540</v>
      </c>
      <c r="H36" s="303"/>
      <c r="I36" s="303"/>
      <c r="J36" s="303"/>
      <c r="K36" s="479">
        <f t="shared" si="1"/>
        <v>11480</v>
      </c>
    </row>
    <row r="37" spans="1:11">
      <c r="A37" s="474" t="s">
        <v>64</v>
      </c>
      <c r="B37" s="477">
        <v>14478</v>
      </c>
      <c r="C37" s="261"/>
      <c r="D37" s="474"/>
      <c r="E37" s="303"/>
      <c r="F37" s="479">
        <f t="shared" si="0"/>
        <v>1013.4600000000002</v>
      </c>
      <c r="G37" s="479">
        <f t="shared" si="2"/>
        <v>1592.58</v>
      </c>
      <c r="H37" s="303"/>
      <c r="I37" s="303"/>
      <c r="J37" s="303"/>
      <c r="K37" s="479">
        <f t="shared" si="1"/>
        <v>11871.96</v>
      </c>
    </row>
    <row r="38" spans="1:11">
      <c r="A38" s="474" t="s">
        <v>65</v>
      </c>
      <c r="B38" s="477">
        <v>10500</v>
      </c>
      <c r="C38" s="261"/>
      <c r="D38" s="474"/>
      <c r="E38" s="303"/>
      <c r="F38" s="479">
        <f t="shared" si="0"/>
        <v>735.00000000000011</v>
      </c>
      <c r="G38" s="479">
        <f t="shared" si="2"/>
        <v>1155</v>
      </c>
      <c r="H38" s="303"/>
      <c r="I38" s="303"/>
      <c r="J38" s="303"/>
      <c r="K38" s="479">
        <f t="shared" si="1"/>
        <v>8610</v>
      </c>
    </row>
    <row r="39" spans="1:11">
      <c r="A39" s="474" t="s">
        <v>66</v>
      </c>
      <c r="B39" s="477">
        <v>11500</v>
      </c>
      <c r="C39" s="262"/>
      <c r="D39" s="474"/>
      <c r="E39" s="303"/>
      <c r="F39" s="479">
        <f t="shared" si="0"/>
        <v>805.00000000000011</v>
      </c>
      <c r="G39" s="479">
        <f t="shared" si="2"/>
        <v>1265</v>
      </c>
      <c r="H39" s="303"/>
      <c r="I39" s="303"/>
      <c r="J39" s="303"/>
      <c r="K39" s="479">
        <f t="shared" si="1"/>
        <v>9430</v>
      </c>
    </row>
    <row r="40" spans="1:11">
      <c r="A40" s="474" t="s">
        <v>67</v>
      </c>
      <c r="B40" s="477">
        <v>7500</v>
      </c>
      <c r="C40" s="261"/>
      <c r="D40" s="474"/>
      <c r="E40" s="303"/>
      <c r="F40" s="479">
        <f t="shared" si="0"/>
        <v>525</v>
      </c>
      <c r="G40" s="479">
        <f t="shared" si="2"/>
        <v>825</v>
      </c>
      <c r="H40" s="303"/>
      <c r="I40" s="303"/>
      <c r="J40" s="303"/>
      <c r="K40" s="479">
        <f t="shared" si="1"/>
        <v>6150</v>
      </c>
    </row>
    <row r="41" spans="1:11">
      <c r="A41" s="474" t="s">
        <v>68</v>
      </c>
      <c r="B41" s="477">
        <v>11000</v>
      </c>
      <c r="C41" s="261"/>
      <c r="D41" s="474"/>
      <c r="E41" s="303"/>
      <c r="F41" s="479">
        <f t="shared" si="0"/>
        <v>770.00000000000011</v>
      </c>
      <c r="G41" s="479">
        <f t="shared" si="2"/>
        <v>1210</v>
      </c>
      <c r="H41" s="303"/>
      <c r="I41" s="303"/>
      <c r="J41" s="303"/>
      <c r="K41" s="479">
        <f t="shared" si="1"/>
        <v>9020</v>
      </c>
    </row>
    <row r="42" spans="1:11">
      <c r="A42" s="474" t="s">
        <v>189</v>
      </c>
      <c r="B42" s="477">
        <v>10100</v>
      </c>
      <c r="C42" s="261"/>
      <c r="D42" s="474"/>
      <c r="E42" s="303"/>
      <c r="F42" s="479">
        <f t="shared" si="0"/>
        <v>707.00000000000011</v>
      </c>
      <c r="G42" s="479">
        <f t="shared" si="2"/>
        <v>1111</v>
      </c>
      <c r="H42" s="303"/>
      <c r="I42" s="303"/>
      <c r="J42" s="303"/>
      <c r="K42" s="479">
        <f t="shared" si="1"/>
        <v>8282</v>
      </c>
    </row>
    <row r="43" spans="1:11">
      <c r="A43" s="474" t="s">
        <v>190</v>
      </c>
      <c r="B43" s="477">
        <v>12500</v>
      </c>
      <c r="C43" s="262"/>
      <c r="D43" s="474"/>
      <c r="E43" s="303"/>
      <c r="F43" s="479">
        <f t="shared" si="0"/>
        <v>875.00000000000011</v>
      </c>
      <c r="G43" s="479">
        <f t="shared" si="2"/>
        <v>1375</v>
      </c>
      <c r="H43" s="303"/>
      <c r="I43" s="303"/>
      <c r="J43" s="303"/>
      <c r="K43" s="479">
        <f t="shared" si="1"/>
        <v>10250</v>
      </c>
    </row>
    <row r="44" spans="1:11">
      <c r="A44" s="474" t="s">
        <v>243</v>
      </c>
      <c r="B44" s="477">
        <v>11000</v>
      </c>
      <c r="C44" s="261">
        <v>600</v>
      </c>
      <c r="D44" s="474"/>
      <c r="E44" s="303"/>
      <c r="F44" s="479">
        <f t="shared" si="0"/>
        <v>770.00000000000011</v>
      </c>
      <c r="G44" s="479">
        <f t="shared" si="2"/>
        <v>1210</v>
      </c>
      <c r="H44" s="303"/>
      <c r="I44" s="303"/>
      <c r="J44" s="303"/>
      <c r="K44" s="479">
        <f t="shared" si="1"/>
        <v>9020</v>
      </c>
    </row>
    <row r="45" spans="1:11">
      <c r="A45" s="474" t="s">
        <v>244</v>
      </c>
      <c r="B45" s="477">
        <v>11000</v>
      </c>
      <c r="C45" s="261">
        <v>600</v>
      </c>
      <c r="D45" s="474"/>
      <c r="E45" s="303"/>
      <c r="F45" s="479">
        <f t="shared" si="0"/>
        <v>770.00000000000011</v>
      </c>
      <c r="G45" s="479">
        <f t="shared" si="2"/>
        <v>1210</v>
      </c>
      <c r="H45" s="303"/>
      <c r="I45" s="303"/>
      <c r="J45" s="303"/>
      <c r="K45" s="479">
        <f t="shared" si="1"/>
        <v>9020</v>
      </c>
    </row>
    <row r="46" spans="1:11">
      <c r="A46" s="474" t="s">
        <v>245</v>
      </c>
      <c r="B46" s="477">
        <v>14400</v>
      </c>
      <c r="C46" s="261">
        <v>600</v>
      </c>
      <c r="D46" s="474"/>
      <c r="E46" s="303"/>
      <c r="F46" s="479">
        <f t="shared" si="0"/>
        <v>1008.0000000000001</v>
      </c>
      <c r="G46" s="479">
        <f t="shared" si="2"/>
        <v>1584</v>
      </c>
      <c r="H46" s="303"/>
      <c r="I46" s="303"/>
      <c r="J46" s="303"/>
      <c r="K46" s="479">
        <f t="shared" si="1"/>
        <v>11808</v>
      </c>
    </row>
    <row r="47" spans="1:11">
      <c r="A47" s="474" t="s">
        <v>246</v>
      </c>
      <c r="B47" s="477">
        <v>14400</v>
      </c>
      <c r="C47" s="261">
        <v>600</v>
      </c>
      <c r="D47" s="474"/>
      <c r="E47" s="303"/>
      <c r="F47" s="479">
        <f t="shared" si="0"/>
        <v>1008.0000000000001</v>
      </c>
      <c r="G47" s="479">
        <f t="shared" si="2"/>
        <v>1584</v>
      </c>
      <c r="H47" s="303"/>
      <c r="I47" s="303"/>
      <c r="J47" s="303"/>
      <c r="K47" s="479">
        <f t="shared" si="1"/>
        <v>11808</v>
      </c>
    </row>
    <row r="48" spans="1:11">
      <c r="A48" s="474" t="s">
        <v>247</v>
      </c>
      <c r="B48" s="477">
        <v>11000</v>
      </c>
      <c r="C48" s="261">
        <v>600</v>
      </c>
      <c r="D48" s="474"/>
      <c r="E48" s="303"/>
      <c r="F48" s="479">
        <f t="shared" si="0"/>
        <v>770.00000000000011</v>
      </c>
      <c r="G48" s="479">
        <f t="shared" si="2"/>
        <v>1210</v>
      </c>
      <c r="H48" s="303"/>
      <c r="I48" s="303"/>
      <c r="J48" s="303"/>
      <c r="K48" s="479">
        <f t="shared" si="1"/>
        <v>9020</v>
      </c>
    </row>
    <row r="49" spans="1:11">
      <c r="A49" s="474" t="s">
        <v>248</v>
      </c>
      <c r="B49" s="477">
        <v>11000</v>
      </c>
      <c r="C49" s="261">
        <v>600</v>
      </c>
      <c r="D49" s="474"/>
      <c r="E49" s="303"/>
      <c r="F49" s="479">
        <f t="shared" si="0"/>
        <v>770.00000000000011</v>
      </c>
      <c r="G49" s="479">
        <f t="shared" si="2"/>
        <v>1210</v>
      </c>
      <c r="H49" s="303"/>
      <c r="I49" s="303"/>
      <c r="J49" s="303"/>
      <c r="K49" s="479">
        <f t="shared" si="1"/>
        <v>9020</v>
      </c>
    </row>
    <row r="50" spans="1:11">
      <c r="A50" s="474" t="s">
        <v>444</v>
      </c>
      <c r="B50" s="477">
        <v>11000</v>
      </c>
      <c r="C50" s="261">
        <v>600</v>
      </c>
      <c r="D50" s="474"/>
      <c r="E50" s="303"/>
      <c r="F50" s="479">
        <f t="shared" si="0"/>
        <v>770.00000000000011</v>
      </c>
      <c r="G50" s="479">
        <f t="shared" si="2"/>
        <v>1210</v>
      </c>
      <c r="H50" s="303"/>
      <c r="I50" s="303"/>
      <c r="J50" s="303"/>
      <c r="K50" s="479">
        <f t="shared" si="1"/>
        <v>9020</v>
      </c>
    </row>
    <row r="51" spans="1:11">
      <c r="A51" s="474" t="s">
        <v>249</v>
      </c>
      <c r="B51" s="477">
        <v>11000</v>
      </c>
      <c r="C51" s="261">
        <v>600</v>
      </c>
      <c r="D51" s="474"/>
      <c r="E51" s="303"/>
      <c r="F51" s="479">
        <f t="shared" si="0"/>
        <v>770.00000000000011</v>
      </c>
      <c r="G51" s="479">
        <f t="shared" si="2"/>
        <v>1210</v>
      </c>
      <c r="H51" s="303"/>
      <c r="I51" s="303"/>
      <c r="J51" s="303"/>
      <c r="K51" s="479">
        <f t="shared" si="1"/>
        <v>9020</v>
      </c>
    </row>
    <row r="52" spans="1:11">
      <c r="A52" s="474" t="s">
        <v>344</v>
      </c>
      <c r="B52" s="477">
        <v>11000</v>
      </c>
      <c r="C52" s="261">
        <v>600</v>
      </c>
      <c r="D52" s="474"/>
      <c r="E52" s="303"/>
      <c r="F52" s="479">
        <f t="shared" si="0"/>
        <v>770.00000000000011</v>
      </c>
      <c r="G52" s="479">
        <f t="shared" si="2"/>
        <v>1210</v>
      </c>
      <c r="H52" s="303"/>
      <c r="I52" s="303"/>
      <c r="J52" s="303"/>
      <c r="K52" s="479">
        <f t="shared" si="1"/>
        <v>9020</v>
      </c>
    </row>
    <row r="53" spans="1:11">
      <c r="A53" s="474" t="s">
        <v>345</v>
      </c>
      <c r="B53" s="477">
        <v>11000</v>
      </c>
      <c r="C53" s="261">
        <v>600</v>
      </c>
      <c r="D53" s="474"/>
      <c r="E53" s="303"/>
      <c r="F53" s="479">
        <f t="shared" si="0"/>
        <v>770.00000000000011</v>
      </c>
      <c r="G53" s="479">
        <f t="shared" si="2"/>
        <v>1210</v>
      </c>
      <c r="H53" s="303"/>
      <c r="I53" s="303"/>
      <c r="J53" s="303"/>
      <c r="K53" s="479">
        <f t="shared" si="1"/>
        <v>9020</v>
      </c>
    </row>
    <row r="54" spans="1:11">
      <c r="A54" s="474" t="s">
        <v>346</v>
      </c>
      <c r="B54" s="477">
        <v>11000</v>
      </c>
      <c r="C54" s="261">
        <v>600</v>
      </c>
      <c r="D54" s="474"/>
      <c r="E54" s="303"/>
      <c r="F54" s="479">
        <f t="shared" si="0"/>
        <v>770.00000000000011</v>
      </c>
      <c r="G54" s="479">
        <f t="shared" si="2"/>
        <v>1210</v>
      </c>
      <c r="H54" s="303"/>
      <c r="I54" s="303"/>
      <c r="J54" s="303"/>
      <c r="K54" s="479">
        <f t="shared" si="1"/>
        <v>9020</v>
      </c>
    </row>
    <row r="55" spans="1:11">
      <c r="A55" s="474" t="s">
        <v>445</v>
      </c>
      <c r="B55" s="477">
        <v>10000</v>
      </c>
      <c r="C55" s="475">
        <v>1600</v>
      </c>
      <c r="D55" s="474"/>
      <c r="E55" s="303"/>
      <c r="F55" s="479">
        <f t="shared" si="0"/>
        <v>700.00000000000011</v>
      </c>
      <c r="G55" s="479">
        <f t="shared" si="2"/>
        <v>1100</v>
      </c>
      <c r="H55" s="303"/>
      <c r="I55" s="303"/>
      <c r="J55" s="303"/>
      <c r="K55" s="479">
        <f t="shared" si="1"/>
        <v>8200</v>
      </c>
    </row>
    <row r="56" spans="1:11" ht="15.5">
      <c r="A56" s="481" t="s">
        <v>71</v>
      </c>
      <c r="B56" s="99">
        <v>13600</v>
      </c>
      <c r="C56" s="482"/>
      <c r="D56" s="474"/>
      <c r="E56" s="303"/>
      <c r="F56" s="479">
        <f t="shared" si="0"/>
        <v>952.00000000000011</v>
      </c>
      <c r="G56" s="479">
        <f t="shared" si="2"/>
        <v>1496</v>
      </c>
      <c r="H56" s="303"/>
      <c r="I56" s="303"/>
      <c r="J56" s="303"/>
      <c r="K56" s="479">
        <f t="shared" si="1"/>
        <v>11152</v>
      </c>
    </row>
    <row r="57" spans="1:11" ht="15.5">
      <c r="A57" s="474" t="s">
        <v>73</v>
      </c>
      <c r="B57" s="99">
        <v>10556</v>
      </c>
      <c r="C57" s="482"/>
      <c r="D57" s="303"/>
      <c r="E57" s="303"/>
      <c r="F57" s="479">
        <f t="shared" si="0"/>
        <v>738.92000000000007</v>
      </c>
      <c r="G57" s="479">
        <f t="shared" si="2"/>
        <v>1161.1600000000001</v>
      </c>
      <c r="H57" s="303"/>
      <c r="I57" s="303"/>
      <c r="J57" s="303"/>
      <c r="K57" s="479">
        <f t="shared" si="1"/>
        <v>8655.92</v>
      </c>
    </row>
    <row r="58" spans="1:11" ht="15.5">
      <c r="A58" s="474" t="s">
        <v>74</v>
      </c>
      <c r="B58" s="99">
        <v>10922.53</v>
      </c>
      <c r="C58" s="482"/>
      <c r="D58" s="303"/>
      <c r="E58" s="303"/>
      <c r="F58" s="479">
        <f t="shared" si="0"/>
        <v>764.57710000000009</v>
      </c>
      <c r="G58" s="479">
        <f t="shared" si="2"/>
        <v>1201.4783</v>
      </c>
      <c r="H58" s="303"/>
      <c r="I58" s="303"/>
      <c r="J58" s="303"/>
      <c r="K58" s="479">
        <f t="shared" si="1"/>
        <v>8956.4745999999996</v>
      </c>
    </row>
    <row r="59" spans="1:11" ht="15.5">
      <c r="A59" s="474" t="s">
        <v>75</v>
      </c>
      <c r="B59" s="99">
        <v>8500</v>
      </c>
      <c r="C59" s="482"/>
      <c r="D59" s="303"/>
      <c r="E59" s="303"/>
      <c r="F59" s="479">
        <f t="shared" si="0"/>
        <v>595</v>
      </c>
      <c r="G59" s="479">
        <f t="shared" si="2"/>
        <v>935</v>
      </c>
      <c r="H59" s="303"/>
      <c r="I59" s="303"/>
      <c r="J59" s="303"/>
      <c r="K59" s="479">
        <f t="shared" si="1"/>
        <v>6970</v>
      </c>
    </row>
    <row r="60" spans="1:11" ht="15.5">
      <c r="A60" s="474" t="s">
        <v>261</v>
      </c>
      <c r="B60" s="99">
        <v>12400</v>
      </c>
      <c r="C60" s="482">
        <v>600</v>
      </c>
      <c r="D60" s="303"/>
      <c r="E60" s="303"/>
      <c r="F60" s="479">
        <f t="shared" si="0"/>
        <v>868.00000000000011</v>
      </c>
      <c r="G60" s="479">
        <f t="shared" si="2"/>
        <v>1364</v>
      </c>
      <c r="H60" s="303"/>
      <c r="I60" s="303"/>
      <c r="J60" s="303"/>
      <c r="K60" s="479">
        <f t="shared" si="1"/>
        <v>10168</v>
      </c>
    </row>
    <row r="61" spans="1:11" ht="15.5">
      <c r="A61" s="474" t="s">
        <v>76</v>
      </c>
      <c r="B61" s="99">
        <v>6930.73</v>
      </c>
      <c r="C61" s="482"/>
      <c r="D61" s="303"/>
      <c r="E61" s="303"/>
      <c r="F61" s="479">
        <f t="shared" si="0"/>
        <v>485.15110000000004</v>
      </c>
      <c r="G61" s="479">
        <f t="shared" si="2"/>
        <v>762.38029999999992</v>
      </c>
      <c r="H61" s="303"/>
      <c r="I61" s="303"/>
      <c r="J61" s="303"/>
      <c r="K61" s="479">
        <f t="shared" si="1"/>
        <v>5683.1985999999997</v>
      </c>
    </row>
    <row r="62" spans="1:11" ht="15.5">
      <c r="A62" s="474" t="s">
        <v>77</v>
      </c>
      <c r="B62" s="99">
        <v>8689.73</v>
      </c>
      <c r="C62" s="482"/>
      <c r="D62" s="303"/>
      <c r="E62" s="303"/>
      <c r="F62" s="479">
        <f t="shared" si="0"/>
        <v>608.28110000000004</v>
      </c>
      <c r="G62" s="479">
        <f t="shared" si="2"/>
        <v>955.87029999999993</v>
      </c>
      <c r="H62" s="303"/>
      <c r="I62" s="303"/>
      <c r="J62" s="303"/>
      <c r="K62" s="479">
        <f t="shared" si="1"/>
        <v>7125.5785999999998</v>
      </c>
    </row>
    <row r="63" spans="1:11" ht="15.5">
      <c r="A63" s="474" t="s">
        <v>263</v>
      </c>
      <c r="B63" s="99">
        <v>8400</v>
      </c>
      <c r="C63" s="482">
        <v>600</v>
      </c>
      <c r="D63" s="303"/>
      <c r="E63" s="303"/>
      <c r="F63" s="479">
        <f t="shared" si="0"/>
        <v>588</v>
      </c>
      <c r="G63" s="479">
        <f t="shared" si="2"/>
        <v>924</v>
      </c>
      <c r="H63" s="303"/>
      <c r="I63" s="303"/>
      <c r="J63" s="303"/>
      <c r="K63" s="479">
        <f t="shared" si="1"/>
        <v>6888</v>
      </c>
    </row>
    <row r="64" spans="1:11" ht="15.5">
      <c r="A64" s="474" t="s">
        <v>262</v>
      </c>
      <c r="B64" s="99">
        <v>9400</v>
      </c>
      <c r="C64" s="482">
        <v>600</v>
      </c>
      <c r="D64" s="303"/>
      <c r="E64" s="303"/>
      <c r="F64" s="479">
        <f t="shared" si="0"/>
        <v>658.00000000000011</v>
      </c>
      <c r="G64" s="479">
        <f t="shared" si="2"/>
        <v>1034</v>
      </c>
      <c r="H64" s="303"/>
      <c r="I64" s="303"/>
      <c r="J64" s="303"/>
      <c r="K64" s="479">
        <f t="shared" si="1"/>
        <v>7708</v>
      </c>
    </row>
    <row r="65" spans="1:11" ht="15.5">
      <c r="A65" s="474" t="s">
        <v>264</v>
      </c>
      <c r="B65" s="99">
        <v>11400</v>
      </c>
      <c r="C65" s="482">
        <v>600</v>
      </c>
      <c r="D65" s="303"/>
      <c r="E65" s="303"/>
      <c r="F65" s="479">
        <f t="shared" si="0"/>
        <v>798.00000000000011</v>
      </c>
      <c r="G65" s="479">
        <f t="shared" si="2"/>
        <v>1254</v>
      </c>
      <c r="H65" s="303"/>
      <c r="I65" s="303"/>
      <c r="J65" s="303"/>
      <c r="K65" s="479">
        <f t="shared" si="1"/>
        <v>9348</v>
      </c>
    </row>
    <row r="66" spans="1:11" ht="15.5">
      <c r="A66" s="474" t="s">
        <v>265</v>
      </c>
      <c r="B66" s="99">
        <v>4900</v>
      </c>
      <c r="C66" s="482">
        <v>600</v>
      </c>
      <c r="D66" s="303"/>
      <c r="E66" s="303"/>
      <c r="F66" s="479">
        <f t="shared" si="0"/>
        <v>343.00000000000006</v>
      </c>
      <c r="G66" s="479">
        <f t="shared" si="2"/>
        <v>539</v>
      </c>
      <c r="H66" s="303"/>
      <c r="I66" s="303"/>
      <c r="J66" s="303"/>
      <c r="K66" s="479">
        <f t="shared" si="1"/>
        <v>4018</v>
      </c>
    </row>
    <row r="67" spans="1:11" ht="15.5">
      <c r="A67" s="474" t="s">
        <v>168</v>
      </c>
      <c r="B67" s="99">
        <v>6350</v>
      </c>
      <c r="C67" s="482"/>
      <c r="D67" s="303"/>
      <c r="E67" s="303"/>
      <c r="F67" s="479">
        <f t="shared" si="0"/>
        <v>444.50000000000006</v>
      </c>
      <c r="G67" s="479">
        <f t="shared" si="2"/>
        <v>698.5</v>
      </c>
      <c r="H67" s="303"/>
      <c r="I67" s="303"/>
      <c r="J67" s="303"/>
      <c r="K67" s="479">
        <f t="shared" si="1"/>
        <v>5207</v>
      </c>
    </row>
    <row r="68" spans="1:11" ht="15.5">
      <c r="A68" s="474" t="s">
        <v>78</v>
      </c>
      <c r="B68" s="99">
        <v>5850</v>
      </c>
      <c r="C68" s="482"/>
      <c r="D68" s="303"/>
      <c r="E68" s="303"/>
      <c r="F68" s="479">
        <f t="shared" si="0"/>
        <v>409.50000000000006</v>
      </c>
      <c r="G68" s="479">
        <f t="shared" si="2"/>
        <v>643.5</v>
      </c>
      <c r="H68" s="303"/>
      <c r="I68" s="303"/>
      <c r="J68" s="303"/>
      <c r="K68" s="479">
        <f t="shared" si="1"/>
        <v>4797</v>
      </c>
    </row>
    <row r="69" spans="1:11" ht="15.5">
      <c r="A69" s="474" t="s">
        <v>80</v>
      </c>
      <c r="B69" s="99">
        <v>9253</v>
      </c>
      <c r="C69" s="482"/>
      <c r="D69" s="303"/>
      <c r="E69" s="303"/>
      <c r="F69" s="479">
        <f t="shared" ref="F69:F131" si="3">B69*0.07</f>
        <v>647.71</v>
      </c>
      <c r="G69" s="479">
        <f t="shared" si="2"/>
        <v>1017.83</v>
      </c>
      <c r="H69" s="303"/>
      <c r="I69" s="303"/>
      <c r="J69" s="303"/>
      <c r="K69" s="479">
        <f t="shared" ref="K69:K131" si="4">B69-F69-G69</f>
        <v>7587.4600000000009</v>
      </c>
    </row>
    <row r="70" spans="1:11" ht="15.5">
      <c r="A70" s="474" t="s">
        <v>81</v>
      </c>
      <c r="B70" s="99">
        <v>9253</v>
      </c>
      <c r="C70" s="482"/>
      <c r="D70" s="303"/>
      <c r="E70" s="303"/>
      <c r="F70" s="479">
        <f t="shared" si="3"/>
        <v>647.71</v>
      </c>
      <c r="G70" s="479">
        <f t="shared" ref="G70:G132" si="5">B70*0.11</f>
        <v>1017.83</v>
      </c>
      <c r="H70" s="303"/>
      <c r="I70" s="303"/>
      <c r="J70" s="303"/>
      <c r="K70" s="479">
        <f t="shared" si="4"/>
        <v>7587.4600000000009</v>
      </c>
    </row>
    <row r="71" spans="1:11" ht="15.5">
      <c r="A71" s="474" t="s">
        <v>82</v>
      </c>
      <c r="B71" s="99">
        <v>6956.12</v>
      </c>
      <c r="C71" s="482"/>
      <c r="D71" s="303"/>
      <c r="E71" s="303"/>
      <c r="F71" s="479">
        <f t="shared" si="3"/>
        <v>486.92840000000001</v>
      </c>
      <c r="G71" s="479">
        <f t="shared" si="5"/>
        <v>765.17319999999995</v>
      </c>
      <c r="H71" s="303"/>
      <c r="I71" s="303"/>
      <c r="J71" s="303"/>
      <c r="K71" s="479">
        <f t="shared" si="4"/>
        <v>5704.0183999999999</v>
      </c>
    </row>
    <row r="72" spans="1:11" ht="15.5">
      <c r="A72" s="474" t="s">
        <v>83</v>
      </c>
      <c r="B72" s="99">
        <v>9112</v>
      </c>
      <c r="C72" s="482"/>
      <c r="D72" s="303"/>
      <c r="E72" s="303"/>
      <c r="F72" s="479">
        <f t="shared" si="3"/>
        <v>637.84</v>
      </c>
      <c r="G72" s="479">
        <f t="shared" si="5"/>
        <v>1002.32</v>
      </c>
      <c r="H72" s="303"/>
      <c r="I72" s="303"/>
      <c r="J72" s="303"/>
      <c r="K72" s="479">
        <f t="shared" si="4"/>
        <v>7471.84</v>
      </c>
    </row>
    <row r="73" spans="1:11" ht="15.5">
      <c r="A73" s="474" t="s">
        <v>84</v>
      </c>
      <c r="B73" s="99">
        <v>9665.84</v>
      </c>
      <c r="C73" s="482"/>
      <c r="D73" s="303"/>
      <c r="E73" s="303"/>
      <c r="F73" s="479">
        <f t="shared" si="3"/>
        <v>676.60880000000009</v>
      </c>
      <c r="G73" s="479">
        <f t="shared" si="5"/>
        <v>1063.2424000000001</v>
      </c>
      <c r="H73" s="303"/>
      <c r="I73" s="303"/>
      <c r="J73" s="303"/>
      <c r="K73" s="479">
        <f t="shared" si="4"/>
        <v>7925.9888000000001</v>
      </c>
    </row>
    <row r="74" spans="1:11" ht="15.5">
      <c r="A74" s="474" t="s">
        <v>86</v>
      </c>
      <c r="B74" s="99">
        <v>5600</v>
      </c>
      <c r="C74" s="482"/>
      <c r="D74" s="303"/>
      <c r="E74" s="303"/>
      <c r="F74" s="479">
        <f t="shared" si="3"/>
        <v>392.00000000000006</v>
      </c>
      <c r="G74" s="479">
        <f t="shared" si="5"/>
        <v>616</v>
      </c>
      <c r="H74" s="303"/>
      <c r="I74" s="303"/>
      <c r="J74" s="303"/>
      <c r="K74" s="479">
        <f t="shared" si="4"/>
        <v>4592</v>
      </c>
    </row>
    <row r="75" spans="1:11" ht="15.5">
      <c r="A75" s="474" t="s">
        <v>87</v>
      </c>
      <c r="B75" s="99">
        <v>8500</v>
      </c>
      <c r="C75" s="482"/>
      <c r="D75" s="303"/>
      <c r="E75" s="303"/>
      <c r="F75" s="479">
        <f t="shared" si="3"/>
        <v>595</v>
      </c>
      <c r="G75" s="479">
        <f t="shared" si="5"/>
        <v>935</v>
      </c>
      <c r="H75" s="303"/>
      <c r="I75" s="303"/>
      <c r="J75" s="303"/>
      <c r="K75" s="479">
        <f t="shared" si="4"/>
        <v>6970</v>
      </c>
    </row>
    <row r="76" spans="1:11" ht="15.5">
      <c r="A76" s="474" t="s">
        <v>88</v>
      </c>
      <c r="B76" s="99">
        <v>4500</v>
      </c>
      <c r="C76" s="482"/>
      <c r="D76" s="303"/>
      <c r="E76" s="303"/>
      <c r="F76" s="479">
        <f t="shared" si="3"/>
        <v>315.00000000000006</v>
      </c>
      <c r="G76" s="479">
        <f t="shared" si="5"/>
        <v>495</v>
      </c>
      <c r="H76" s="303"/>
      <c r="I76" s="303"/>
      <c r="J76" s="303"/>
      <c r="K76" s="479">
        <f t="shared" si="4"/>
        <v>3690</v>
      </c>
    </row>
    <row r="77" spans="1:11" ht="15.5">
      <c r="A77" s="474" t="s">
        <v>454</v>
      </c>
      <c r="B77" s="99">
        <v>4900</v>
      </c>
      <c r="C77" s="482">
        <v>600</v>
      </c>
      <c r="D77" s="303"/>
      <c r="E77" s="303"/>
      <c r="F77" s="479">
        <f t="shared" si="3"/>
        <v>343.00000000000006</v>
      </c>
      <c r="G77" s="479">
        <f t="shared" si="5"/>
        <v>539</v>
      </c>
      <c r="H77" s="303"/>
      <c r="I77" s="303"/>
      <c r="J77" s="303"/>
      <c r="K77" s="479">
        <f t="shared" si="4"/>
        <v>4018</v>
      </c>
    </row>
    <row r="78" spans="1:11" ht="15.5">
      <c r="A78" s="474" t="s">
        <v>455</v>
      </c>
      <c r="B78" s="99">
        <v>2400</v>
      </c>
      <c r="C78" s="482">
        <v>600</v>
      </c>
      <c r="D78" s="303"/>
      <c r="E78" s="303"/>
      <c r="F78" s="479">
        <f t="shared" si="3"/>
        <v>168.00000000000003</v>
      </c>
      <c r="G78" s="479">
        <f t="shared" si="5"/>
        <v>264</v>
      </c>
      <c r="H78" s="303"/>
      <c r="I78" s="303"/>
      <c r="J78" s="303"/>
      <c r="K78" s="479">
        <f t="shared" si="4"/>
        <v>1968</v>
      </c>
    </row>
    <row r="79" spans="1:11">
      <c r="A79" s="481" t="s">
        <v>92</v>
      </c>
      <c r="B79" s="99">
        <v>8322</v>
      </c>
      <c r="C79" s="303"/>
      <c r="D79" s="303"/>
      <c r="E79" s="303"/>
      <c r="F79" s="479">
        <f t="shared" si="3"/>
        <v>582.54000000000008</v>
      </c>
      <c r="G79" s="479">
        <f t="shared" si="5"/>
        <v>915.42</v>
      </c>
      <c r="H79" s="303"/>
      <c r="I79" s="303"/>
      <c r="J79" s="303"/>
      <c r="K79" s="479">
        <f t="shared" si="4"/>
        <v>6824.04</v>
      </c>
    </row>
    <row r="80" spans="1:11">
      <c r="A80" s="474" t="s">
        <v>94</v>
      </c>
      <c r="B80" s="99">
        <v>6889.46</v>
      </c>
      <c r="C80" s="303"/>
      <c r="D80" s="303"/>
      <c r="E80" s="303"/>
      <c r="F80" s="479">
        <f t="shared" si="3"/>
        <v>482.26220000000006</v>
      </c>
      <c r="G80" s="479">
        <f t="shared" si="5"/>
        <v>757.84059999999999</v>
      </c>
      <c r="H80" s="303"/>
      <c r="I80" s="303"/>
      <c r="J80" s="303"/>
      <c r="K80" s="479">
        <f t="shared" si="4"/>
        <v>5649.3572000000004</v>
      </c>
    </row>
    <row r="81" spans="1:11">
      <c r="A81" s="474" t="s">
        <v>95</v>
      </c>
      <c r="B81" s="99">
        <v>5110.79</v>
      </c>
      <c r="C81" s="303"/>
      <c r="D81" s="303"/>
      <c r="E81" s="303"/>
      <c r="F81" s="479">
        <f t="shared" si="3"/>
        <v>357.75530000000003</v>
      </c>
      <c r="G81" s="479">
        <f t="shared" si="5"/>
        <v>562.18690000000004</v>
      </c>
      <c r="H81" s="303"/>
      <c r="I81" s="303"/>
      <c r="J81" s="303"/>
      <c r="K81" s="479">
        <f t="shared" si="4"/>
        <v>4190.8478000000005</v>
      </c>
    </row>
    <row r="82" spans="1:11">
      <c r="A82" s="474" t="s">
        <v>96</v>
      </c>
      <c r="B82" s="99">
        <v>7585.88</v>
      </c>
      <c r="C82" s="303"/>
      <c r="D82" s="303"/>
      <c r="E82" s="303"/>
      <c r="F82" s="479">
        <f t="shared" si="3"/>
        <v>531.01160000000004</v>
      </c>
      <c r="G82" s="479">
        <f t="shared" si="5"/>
        <v>834.44680000000005</v>
      </c>
      <c r="H82" s="303"/>
      <c r="I82" s="303"/>
      <c r="J82" s="303"/>
      <c r="K82" s="479">
        <f t="shared" si="4"/>
        <v>6220.4216000000006</v>
      </c>
    </row>
    <row r="83" spans="1:11">
      <c r="A83" s="474" t="s">
        <v>97</v>
      </c>
      <c r="B83" s="99">
        <v>7862.5</v>
      </c>
      <c r="C83" s="303"/>
      <c r="D83" s="303"/>
      <c r="E83" s="303"/>
      <c r="F83" s="479">
        <f t="shared" si="3"/>
        <v>550.375</v>
      </c>
      <c r="G83" s="479">
        <f t="shared" si="5"/>
        <v>864.875</v>
      </c>
      <c r="H83" s="303"/>
      <c r="I83" s="303"/>
      <c r="J83" s="303"/>
      <c r="K83" s="479">
        <f t="shared" si="4"/>
        <v>6447.25</v>
      </c>
    </row>
    <row r="84" spans="1:11">
      <c r="A84" s="474" t="s">
        <v>98</v>
      </c>
      <c r="B84" s="99">
        <v>9210</v>
      </c>
      <c r="C84" s="303"/>
      <c r="D84" s="303"/>
      <c r="E84" s="303"/>
      <c r="F84" s="479">
        <f t="shared" si="3"/>
        <v>644.70000000000005</v>
      </c>
      <c r="G84" s="479">
        <f t="shared" si="5"/>
        <v>1013.1</v>
      </c>
      <c r="H84" s="303"/>
      <c r="I84" s="303"/>
      <c r="J84" s="303"/>
      <c r="K84" s="479">
        <f t="shared" si="4"/>
        <v>7552.1999999999989</v>
      </c>
    </row>
    <row r="85" spans="1:11">
      <c r="A85" s="474" t="s">
        <v>99</v>
      </c>
      <c r="B85" s="99">
        <v>5110.79</v>
      </c>
      <c r="C85" s="303"/>
      <c r="D85" s="303"/>
      <c r="E85" s="303"/>
      <c r="F85" s="479">
        <f t="shared" si="3"/>
        <v>357.75530000000003</v>
      </c>
      <c r="G85" s="479">
        <f t="shared" si="5"/>
        <v>562.18690000000004</v>
      </c>
      <c r="H85" s="303"/>
      <c r="I85" s="303"/>
      <c r="J85" s="303"/>
      <c r="K85" s="479">
        <f t="shared" si="4"/>
        <v>4190.8478000000005</v>
      </c>
    </row>
    <row r="86" spans="1:11">
      <c r="A86" s="474" t="s">
        <v>100</v>
      </c>
      <c r="B86" s="99">
        <v>8084</v>
      </c>
      <c r="C86" s="303"/>
      <c r="D86" s="303"/>
      <c r="E86" s="303"/>
      <c r="F86" s="479">
        <f t="shared" si="3"/>
        <v>565.88000000000011</v>
      </c>
      <c r="G86" s="479">
        <f t="shared" si="5"/>
        <v>889.24</v>
      </c>
      <c r="H86" s="303"/>
      <c r="I86" s="303"/>
      <c r="J86" s="303"/>
      <c r="K86" s="479">
        <f t="shared" si="4"/>
        <v>6628.88</v>
      </c>
    </row>
    <row r="87" spans="1:11">
      <c r="A87" s="474" t="s">
        <v>101</v>
      </c>
      <c r="B87" s="99">
        <v>8873.0300000000007</v>
      </c>
      <c r="C87" s="303"/>
      <c r="D87" s="303"/>
      <c r="E87" s="303"/>
      <c r="F87" s="479">
        <f t="shared" si="3"/>
        <v>621.11210000000005</v>
      </c>
      <c r="G87" s="479">
        <f t="shared" si="5"/>
        <v>976.03330000000005</v>
      </c>
      <c r="H87" s="303"/>
      <c r="I87" s="303"/>
      <c r="J87" s="303"/>
      <c r="K87" s="479">
        <f t="shared" si="4"/>
        <v>7275.8846000000003</v>
      </c>
    </row>
    <row r="88" spans="1:11">
      <c r="A88" s="474" t="s">
        <v>102</v>
      </c>
      <c r="B88" s="99">
        <v>8376.99</v>
      </c>
      <c r="C88" s="303"/>
      <c r="D88" s="303"/>
      <c r="E88" s="303"/>
      <c r="F88" s="479">
        <f t="shared" si="3"/>
        <v>586.38930000000005</v>
      </c>
      <c r="G88" s="479">
        <f t="shared" si="5"/>
        <v>921.46889999999996</v>
      </c>
      <c r="H88" s="303"/>
      <c r="I88" s="303"/>
      <c r="J88" s="303"/>
      <c r="K88" s="479">
        <f t="shared" si="4"/>
        <v>6869.1318000000001</v>
      </c>
    </row>
    <row r="89" spans="1:11">
      <c r="A89" s="474" t="s">
        <v>103</v>
      </c>
      <c r="B89" s="99">
        <v>8825.08</v>
      </c>
      <c r="C89" s="303"/>
      <c r="D89" s="303"/>
      <c r="E89" s="303"/>
      <c r="F89" s="479">
        <f t="shared" si="3"/>
        <v>617.75560000000007</v>
      </c>
      <c r="G89" s="479">
        <f t="shared" si="5"/>
        <v>970.75879999999995</v>
      </c>
      <c r="H89" s="303"/>
      <c r="I89" s="303"/>
      <c r="J89" s="303"/>
      <c r="K89" s="479">
        <f t="shared" si="4"/>
        <v>7236.5655999999999</v>
      </c>
    </row>
    <row r="90" spans="1:11">
      <c r="A90" s="474" t="s">
        <v>377</v>
      </c>
      <c r="B90" s="99">
        <v>2400</v>
      </c>
      <c r="C90" s="303">
        <v>600</v>
      </c>
      <c r="D90" s="303"/>
      <c r="E90" s="303"/>
      <c r="F90" s="479">
        <f t="shared" si="3"/>
        <v>168.00000000000003</v>
      </c>
      <c r="G90" s="479">
        <f t="shared" si="5"/>
        <v>264</v>
      </c>
      <c r="H90" s="303"/>
      <c r="I90" s="303"/>
      <c r="J90" s="303"/>
      <c r="K90" s="479">
        <f t="shared" si="4"/>
        <v>1968</v>
      </c>
    </row>
    <row r="91" spans="1:11">
      <c r="A91" s="474" t="s">
        <v>104</v>
      </c>
      <c r="B91" s="99">
        <v>5500</v>
      </c>
      <c r="C91" s="303"/>
      <c r="D91" s="303"/>
      <c r="E91" s="303"/>
      <c r="F91" s="479">
        <f t="shared" si="3"/>
        <v>385.00000000000006</v>
      </c>
      <c r="G91" s="479">
        <f t="shared" si="5"/>
        <v>605</v>
      </c>
      <c r="H91" s="303"/>
      <c r="I91" s="303"/>
      <c r="J91" s="303"/>
      <c r="K91" s="479">
        <f t="shared" si="4"/>
        <v>4510</v>
      </c>
    </row>
    <row r="92" spans="1:11">
      <c r="A92" s="474" t="s">
        <v>106</v>
      </c>
      <c r="B92" s="99">
        <v>4500</v>
      </c>
      <c r="C92" s="303"/>
      <c r="D92" s="303"/>
      <c r="E92" s="303"/>
      <c r="F92" s="479">
        <f t="shared" si="3"/>
        <v>315.00000000000006</v>
      </c>
      <c r="G92" s="479">
        <f t="shared" si="5"/>
        <v>495</v>
      </c>
      <c r="H92" s="303"/>
      <c r="I92" s="303"/>
      <c r="J92" s="303"/>
      <c r="K92" s="479">
        <f t="shared" si="4"/>
        <v>3690</v>
      </c>
    </row>
    <row r="93" spans="1:11">
      <c r="A93" s="474" t="s">
        <v>354</v>
      </c>
      <c r="B93" s="99">
        <v>4828.8500000000004</v>
      </c>
      <c r="C93" s="303"/>
      <c r="D93" s="303"/>
      <c r="E93" s="303"/>
      <c r="F93" s="479">
        <f t="shared" si="3"/>
        <v>338.01950000000005</v>
      </c>
      <c r="G93" s="479">
        <f t="shared" si="5"/>
        <v>531.17349999999999</v>
      </c>
      <c r="H93" s="303"/>
      <c r="I93" s="303"/>
      <c r="J93" s="303"/>
      <c r="K93" s="479">
        <f t="shared" si="4"/>
        <v>3959.6570000000002</v>
      </c>
    </row>
    <row r="94" spans="1:11">
      <c r="A94" s="474" t="s">
        <v>108</v>
      </c>
      <c r="B94" s="99">
        <v>4500</v>
      </c>
      <c r="C94" s="303"/>
      <c r="D94" s="303"/>
      <c r="E94" s="303"/>
      <c r="F94" s="479">
        <f t="shared" si="3"/>
        <v>315.00000000000006</v>
      </c>
      <c r="G94" s="479">
        <f t="shared" si="5"/>
        <v>495</v>
      </c>
      <c r="H94" s="303"/>
      <c r="I94" s="303"/>
      <c r="J94" s="303"/>
      <c r="K94" s="479">
        <f t="shared" si="4"/>
        <v>3690</v>
      </c>
    </row>
    <row r="95" spans="1:11">
      <c r="A95" s="474" t="s">
        <v>109</v>
      </c>
      <c r="B95" s="99">
        <v>4500</v>
      </c>
      <c r="C95" s="303"/>
      <c r="D95" s="303"/>
      <c r="E95" s="303"/>
      <c r="F95" s="479">
        <f t="shared" si="3"/>
        <v>315.00000000000006</v>
      </c>
      <c r="G95" s="479">
        <f t="shared" si="5"/>
        <v>495</v>
      </c>
      <c r="H95" s="303"/>
      <c r="I95" s="303"/>
      <c r="J95" s="303"/>
      <c r="K95" s="479">
        <f t="shared" si="4"/>
        <v>3690</v>
      </c>
    </row>
    <row r="96" spans="1:11">
      <c r="A96" s="474" t="s">
        <v>110</v>
      </c>
      <c r="B96" s="99">
        <v>4500</v>
      </c>
      <c r="C96" s="303"/>
      <c r="D96" s="303"/>
      <c r="E96" s="303"/>
      <c r="F96" s="479">
        <f t="shared" si="3"/>
        <v>315.00000000000006</v>
      </c>
      <c r="G96" s="479">
        <f t="shared" si="5"/>
        <v>495</v>
      </c>
      <c r="H96" s="303"/>
      <c r="I96" s="303"/>
      <c r="J96" s="303"/>
      <c r="K96" s="479">
        <f t="shared" si="4"/>
        <v>3690</v>
      </c>
    </row>
    <row r="97" spans="1:11">
      <c r="A97" s="474" t="s">
        <v>112</v>
      </c>
      <c r="B97" s="99">
        <v>4500</v>
      </c>
      <c r="C97" s="303"/>
      <c r="D97" s="303"/>
      <c r="E97" s="303"/>
      <c r="F97" s="479">
        <f t="shared" si="3"/>
        <v>315.00000000000006</v>
      </c>
      <c r="G97" s="479">
        <f t="shared" si="5"/>
        <v>495</v>
      </c>
      <c r="H97" s="303"/>
      <c r="I97" s="303"/>
      <c r="J97" s="303"/>
      <c r="K97" s="479">
        <f t="shared" si="4"/>
        <v>3690</v>
      </c>
    </row>
    <row r="98" spans="1:11">
      <c r="A98" s="474" t="s">
        <v>113</v>
      </c>
      <c r="B98" s="99">
        <v>5750</v>
      </c>
      <c r="C98" s="303"/>
      <c r="D98" s="303"/>
      <c r="E98" s="303"/>
      <c r="F98" s="479">
        <f t="shared" si="3"/>
        <v>402.50000000000006</v>
      </c>
      <c r="G98" s="479">
        <f t="shared" si="5"/>
        <v>632.5</v>
      </c>
      <c r="H98" s="303"/>
      <c r="I98" s="303"/>
      <c r="J98" s="303"/>
      <c r="K98" s="479">
        <f t="shared" si="4"/>
        <v>4715</v>
      </c>
    </row>
    <row r="99" spans="1:11">
      <c r="A99" s="474" t="s">
        <v>114</v>
      </c>
      <c r="B99" s="99">
        <v>5180</v>
      </c>
      <c r="C99" s="303"/>
      <c r="D99" s="303"/>
      <c r="E99" s="303"/>
      <c r="F99" s="479">
        <f t="shared" si="3"/>
        <v>362.6</v>
      </c>
      <c r="G99" s="479">
        <f t="shared" si="5"/>
        <v>569.79999999999995</v>
      </c>
      <c r="H99" s="303"/>
      <c r="I99" s="303"/>
      <c r="J99" s="303"/>
      <c r="K99" s="479">
        <f t="shared" si="4"/>
        <v>4247.5999999999995</v>
      </c>
    </row>
    <row r="100" spans="1:11">
      <c r="A100" s="474" t="s">
        <v>116</v>
      </c>
      <c r="B100" s="99">
        <v>11460</v>
      </c>
      <c r="C100" s="303">
        <v>1600</v>
      </c>
      <c r="D100" s="303"/>
      <c r="E100" s="303"/>
      <c r="F100" s="479">
        <f t="shared" si="3"/>
        <v>802.2</v>
      </c>
      <c r="G100" s="479">
        <f t="shared" si="5"/>
        <v>1260.5999999999999</v>
      </c>
      <c r="H100" s="303"/>
      <c r="I100" s="303"/>
      <c r="J100" s="303"/>
      <c r="K100" s="479">
        <f t="shared" si="4"/>
        <v>9397.1999999999989</v>
      </c>
    </row>
    <row r="101" spans="1:11">
      <c r="A101" s="474" t="s">
        <v>119</v>
      </c>
      <c r="B101" s="99">
        <v>4500</v>
      </c>
      <c r="C101" s="303"/>
      <c r="D101" s="303"/>
      <c r="E101" s="303"/>
      <c r="F101" s="479">
        <f t="shared" si="3"/>
        <v>315.00000000000006</v>
      </c>
      <c r="G101" s="479">
        <f t="shared" si="5"/>
        <v>495</v>
      </c>
      <c r="H101" s="303"/>
      <c r="I101" s="303"/>
      <c r="J101" s="303"/>
      <c r="K101" s="479">
        <f t="shared" si="4"/>
        <v>3690</v>
      </c>
    </row>
    <row r="102" spans="1:11">
      <c r="A102" s="474" t="s">
        <v>120</v>
      </c>
      <c r="B102" s="99">
        <v>4500</v>
      </c>
      <c r="C102" s="303"/>
      <c r="D102" s="303"/>
      <c r="E102" s="303"/>
      <c r="F102" s="479">
        <f t="shared" si="3"/>
        <v>315.00000000000006</v>
      </c>
      <c r="G102" s="479">
        <f t="shared" si="5"/>
        <v>495</v>
      </c>
      <c r="H102" s="303"/>
      <c r="I102" s="303"/>
      <c r="J102" s="303"/>
      <c r="K102" s="479">
        <f t="shared" si="4"/>
        <v>3690</v>
      </c>
    </row>
    <row r="103" spans="1:11">
      <c r="A103" s="474" t="s">
        <v>121</v>
      </c>
      <c r="B103" s="99">
        <v>4500</v>
      </c>
      <c r="C103" s="303"/>
      <c r="D103" s="303"/>
      <c r="E103" s="303"/>
      <c r="F103" s="479">
        <f t="shared" si="3"/>
        <v>315.00000000000006</v>
      </c>
      <c r="G103" s="479">
        <f t="shared" si="5"/>
        <v>495</v>
      </c>
      <c r="H103" s="303"/>
      <c r="I103" s="303"/>
      <c r="J103" s="303"/>
      <c r="K103" s="479">
        <f t="shared" si="4"/>
        <v>3690</v>
      </c>
    </row>
    <row r="104" spans="1:11">
      <c r="A104" s="474" t="s">
        <v>122</v>
      </c>
      <c r="B104" s="99">
        <v>6000</v>
      </c>
      <c r="C104" s="303"/>
      <c r="D104" s="303"/>
      <c r="E104" s="303"/>
      <c r="F104" s="479">
        <f t="shared" si="3"/>
        <v>420.00000000000006</v>
      </c>
      <c r="G104" s="479">
        <f t="shared" si="5"/>
        <v>660</v>
      </c>
      <c r="H104" s="303"/>
      <c r="I104" s="303"/>
      <c r="J104" s="303"/>
      <c r="K104" s="479">
        <f t="shared" si="4"/>
        <v>4920</v>
      </c>
    </row>
    <row r="105" spans="1:11">
      <c r="A105" s="474" t="s">
        <v>123</v>
      </c>
      <c r="B105" s="99">
        <v>4500</v>
      </c>
      <c r="C105" s="303"/>
      <c r="D105" s="303"/>
      <c r="E105" s="303"/>
      <c r="F105" s="479">
        <f t="shared" si="3"/>
        <v>315.00000000000006</v>
      </c>
      <c r="G105" s="479">
        <f t="shared" si="5"/>
        <v>495</v>
      </c>
      <c r="H105" s="303"/>
      <c r="I105" s="303"/>
      <c r="J105" s="303"/>
      <c r="K105" s="479">
        <f t="shared" si="4"/>
        <v>3690</v>
      </c>
    </row>
    <row r="106" spans="1:11">
      <c r="A106" s="474" t="s">
        <v>124</v>
      </c>
      <c r="B106" s="99">
        <v>5500</v>
      </c>
      <c r="C106" s="303"/>
      <c r="D106" s="303"/>
      <c r="E106" s="303"/>
      <c r="F106" s="479">
        <f t="shared" si="3"/>
        <v>385.00000000000006</v>
      </c>
      <c r="G106" s="479">
        <f t="shared" si="5"/>
        <v>605</v>
      </c>
      <c r="H106" s="303"/>
      <c r="I106" s="303"/>
      <c r="J106" s="303"/>
      <c r="K106" s="479">
        <f t="shared" si="4"/>
        <v>4510</v>
      </c>
    </row>
    <row r="107" spans="1:11">
      <c r="A107" s="474" t="s">
        <v>201</v>
      </c>
      <c r="B107" s="99">
        <v>5500</v>
      </c>
      <c r="C107" s="303"/>
      <c r="D107" s="303"/>
      <c r="E107" s="303"/>
      <c r="F107" s="479">
        <f t="shared" si="3"/>
        <v>385.00000000000006</v>
      </c>
      <c r="G107" s="479">
        <f t="shared" si="5"/>
        <v>605</v>
      </c>
      <c r="H107" s="303"/>
      <c r="I107" s="303"/>
      <c r="J107" s="303"/>
      <c r="K107" s="479">
        <f t="shared" si="4"/>
        <v>4510</v>
      </c>
    </row>
    <row r="108" spans="1:11">
      <c r="A108" s="474" t="s">
        <v>466</v>
      </c>
      <c r="B108" s="99">
        <v>3400</v>
      </c>
      <c r="C108" s="303">
        <v>460</v>
      </c>
      <c r="D108" s="303"/>
      <c r="E108" s="303"/>
      <c r="F108" s="479">
        <f t="shared" si="3"/>
        <v>238.00000000000003</v>
      </c>
      <c r="G108" s="479">
        <f t="shared" si="5"/>
        <v>374</v>
      </c>
      <c r="H108" s="303"/>
      <c r="I108" s="303"/>
      <c r="J108" s="303"/>
      <c r="K108" s="479">
        <f t="shared" si="4"/>
        <v>2788</v>
      </c>
    </row>
    <row r="109" spans="1:11">
      <c r="A109" s="474" t="s">
        <v>203</v>
      </c>
      <c r="B109" s="99">
        <v>3400</v>
      </c>
      <c r="C109" s="303">
        <v>600</v>
      </c>
      <c r="D109" s="303"/>
      <c r="E109" s="303"/>
      <c r="F109" s="479">
        <f t="shared" si="3"/>
        <v>238.00000000000003</v>
      </c>
      <c r="G109" s="479">
        <f t="shared" si="5"/>
        <v>374</v>
      </c>
      <c r="H109" s="303"/>
      <c r="I109" s="303"/>
      <c r="J109" s="303"/>
      <c r="K109" s="479">
        <f t="shared" si="4"/>
        <v>2788</v>
      </c>
    </row>
    <row r="110" spans="1:11">
      <c r="A110" s="474" t="s">
        <v>349</v>
      </c>
      <c r="B110" s="99">
        <v>16000</v>
      </c>
      <c r="C110" s="303">
        <v>2000</v>
      </c>
      <c r="D110" s="303"/>
      <c r="E110" s="303"/>
      <c r="F110" s="479">
        <f t="shared" si="3"/>
        <v>1120</v>
      </c>
      <c r="G110" s="479">
        <f t="shared" si="5"/>
        <v>1760</v>
      </c>
      <c r="H110" s="303"/>
      <c r="I110" s="303"/>
      <c r="J110" s="303"/>
      <c r="K110" s="479">
        <f t="shared" si="4"/>
        <v>13120</v>
      </c>
    </row>
    <row r="111" spans="1:11">
      <c r="A111" s="474" t="s">
        <v>350</v>
      </c>
      <c r="B111" s="99">
        <v>3400</v>
      </c>
      <c r="C111" s="303">
        <v>600</v>
      </c>
      <c r="D111" s="303"/>
      <c r="E111" s="303"/>
      <c r="F111" s="479">
        <f t="shared" si="3"/>
        <v>238.00000000000003</v>
      </c>
      <c r="G111" s="479">
        <f t="shared" si="5"/>
        <v>374</v>
      </c>
      <c r="H111" s="303"/>
      <c r="I111" s="303"/>
      <c r="J111" s="303"/>
      <c r="K111" s="479">
        <f t="shared" si="4"/>
        <v>2788</v>
      </c>
    </row>
    <row r="112" spans="1:11">
      <c r="A112" s="474" t="s">
        <v>361</v>
      </c>
      <c r="B112" s="99">
        <v>2900</v>
      </c>
      <c r="C112" s="303">
        <v>600</v>
      </c>
      <c r="D112" s="303"/>
      <c r="E112" s="303"/>
      <c r="F112" s="479">
        <f t="shared" si="3"/>
        <v>203.00000000000003</v>
      </c>
      <c r="G112" s="479">
        <f t="shared" si="5"/>
        <v>319</v>
      </c>
      <c r="H112" s="303"/>
      <c r="I112" s="303"/>
      <c r="J112" s="303"/>
      <c r="K112" s="479">
        <f t="shared" si="4"/>
        <v>2378</v>
      </c>
    </row>
    <row r="113" spans="1:11">
      <c r="A113" s="474" t="s">
        <v>363</v>
      </c>
      <c r="B113" s="99">
        <v>3400</v>
      </c>
      <c r="C113" s="303">
        <v>600</v>
      </c>
      <c r="D113" s="303"/>
      <c r="E113" s="303"/>
      <c r="F113" s="479">
        <f t="shared" si="3"/>
        <v>238.00000000000003</v>
      </c>
      <c r="G113" s="479">
        <f t="shared" si="5"/>
        <v>374</v>
      </c>
      <c r="H113" s="303"/>
      <c r="I113" s="303"/>
      <c r="J113" s="303"/>
      <c r="K113" s="479">
        <f t="shared" si="4"/>
        <v>2788</v>
      </c>
    </row>
    <row r="114" spans="1:11">
      <c r="A114" s="474" t="s">
        <v>446</v>
      </c>
      <c r="B114" s="99">
        <v>2400</v>
      </c>
      <c r="C114" s="303">
        <v>600</v>
      </c>
      <c r="D114" s="303"/>
      <c r="E114" s="303"/>
      <c r="F114" s="479">
        <f t="shared" si="3"/>
        <v>168.00000000000003</v>
      </c>
      <c r="G114" s="479">
        <f t="shared" si="5"/>
        <v>264</v>
      </c>
      <c r="H114" s="303"/>
      <c r="I114" s="303"/>
      <c r="J114" s="303"/>
      <c r="K114" s="479">
        <f t="shared" si="4"/>
        <v>1968</v>
      </c>
    </row>
    <row r="115" spans="1:11">
      <c r="A115" s="474" t="s">
        <v>447</v>
      </c>
      <c r="B115" s="99">
        <v>2400</v>
      </c>
      <c r="C115" s="303">
        <v>600</v>
      </c>
      <c r="D115" s="303"/>
      <c r="E115" s="303"/>
      <c r="F115" s="479">
        <f t="shared" si="3"/>
        <v>168.00000000000003</v>
      </c>
      <c r="G115" s="479">
        <f t="shared" si="5"/>
        <v>264</v>
      </c>
      <c r="H115" s="303"/>
      <c r="I115" s="303"/>
      <c r="J115" s="303"/>
      <c r="K115" s="479">
        <f t="shared" si="4"/>
        <v>1968</v>
      </c>
    </row>
    <row r="116" spans="1:11">
      <c r="A116" s="474" t="s">
        <v>449</v>
      </c>
      <c r="B116" s="99">
        <v>3400</v>
      </c>
      <c r="C116" s="303">
        <v>600</v>
      </c>
      <c r="D116" s="303"/>
      <c r="E116" s="303"/>
      <c r="F116" s="479">
        <f t="shared" si="3"/>
        <v>238.00000000000003</v>
      </c>
      <c r="G116" s="479">
        <f t="shared" si="5"/>
        <v>374</v>
      </c>
      <c r="H116" s="303"/>
      <c r="I116" s="303"/>
      <c r="J116" s="303"/>
      <c r="K116" s="479">
        <f t="shared" si="4"/>
        <v>2788</v>
      </c>
    </row>
    <row r="117" spans="1:11">
      <c r="A117" s="474" t="s">
        <v>451</v>
      </c>
      <c r="B117" s="99">
        <v>8000</v>
      </c>
      <c r="C117" s="303">
        <v>2000</v>
      </c>
      <c r="D117" s="303"/>
      <c r="E117" s="303"/>
      <c r="F117" s="479">
        <f t="shared" si="3"/>
        <v>560</v>
      </c>
      <c r="G117" s="479">
        <f t="shared" si="5"/>
        <v>880</v>
      </c>
      <c r="H117" s="303"/>
      <c r="I117" s="303"/>
      <c r="J117" s="303"/>
      <c r="K117" s="479">
        <f t="shared" si="4"/>
        <v>6560</v>
      </c>
    </row>
    <row r="118" spans="1:11">
      <c r="A118" s="481" t="s">
        <v>126</v>
      </c>
      <c r="B118" s="99">
        <v>5750</v>
      </c>
      <c r="C118" s="303"/>
      <c r="D118" s="303"/>
      <c r="E118" s="303"/>
      <c r="F118" s="479">
        <f t="shared" si="3"/>
        <v>402.50000000000006</v>
      </c>
      <c r="G118" s="479">
        <f t="shared" si="5"/>
        <v>632.5</v>
      </c>
      <c r="H118" s="303"/>
      <c r="I118" s="303"/>
      <c r="J118" s="303"/>
      <c r="K118" s="479">
        <f t="shared" si="4"/>
        <v>4715</v>
      </c>
    </row>
    <row r="119" spans="1:11">
      <c r="A119" s="474" t="s">
        <v>127</v>
      </c>
      <c r="B119" s="99">
        <v>6463.75</v>
      </c>
      <c r="C119" s="303"/>
      <c r="D119" s="303"/>
      <c r="E119" s="303"/>
      <c r="F119" s="479">
        <f t="shared" si="3"/>
        <v>452.46250000000003</v>
      </c>
      <c r="G119" s="479">
        <f t="shared" si="5"/>
        <v>711.01250000000005</v>
      </c>
      <c r="H119" s="303"/>
      <c r="I119" s="303"/>
      <c r="J119" s="303"/>
      <c r="K119" s="479">
        <f t="shared" si="4"/>
        <v>5300.2750000000005</v>
      </c>
    </row>
    <row r="120" spans="1:11">
      <c r="A120" s="474" t="s">
        <v>129</v>
      </c>
      <c r="B120" s="99">
        <v>9652.66</v>
      </c>
      <c r="C120" s="303"/>
      <c r="D120" s="303"/>
      <c r="E120" s="303"/>
      <c r="F120" s="479">
        <f t="shared" si="3"/>
        <v>675.6862000000001</v>
      </c>
      <c r="G120" s="479">
        <f t="shared" si="5"/>
        <v>1061.7926</v>
      </c>
      <c r="H120" s="303"/>
      <c r="I120" s="303"/>
      <c r="J120" s="303"/>
      <c r="K120" s="479">
        <f t="shared" si="4"/>
        <v>7915.1812</v>
      </c>
    </row>
    <row r="121" spans="1:11">
      <c r="A121" s="474" t="s">
        <v>131</v>
      </c>
      <c r="B121" s="99">
        <v>7628.58</v>
      </c>
      <c r="C121" s="303"/>
      <c r="D121" s="303"/>
      <c r="E121" s="303"/>
      <c r="F121" s="479">
        <f t="shared" si="3"/>
        <v>534.00060000000008</v>
      </c>
      <c r="G121" s="479">
        <f t="shared" si="5"/>
        <v>839.14379999999994</v>
      </c>
      <c r="H121" s="303"/>
      <c r="I121" s="303"/>
      <c r="J121" s="303"/>
      <c r="K121" s="479">
        <f t="shared" si="4"/>
        <v>6255.4355999999998</v>
      </c>
    </row>
    <row r="122" spans="1:11">
      <c r="A122" s="474" t="s">
        <v>132</v>
      </c>
      <c r="B122" s="99">
        <v>6542.22</v>
      </c>
      <c r="C122" s="303"/>
      <c r="D122" s="303"/>
      <c r="E122" s="303"/>
      <c r="F122" s="479">
        <f t="shared" si="3"/>
        <v>457.95540000000005</v>
      </c>
      <c r="G122" s="479">
        <f t="shared" si="5"/>
        <v>719.64420000000007</v>
      </c>
      <c r="H122" s="303"/>
      <c r="I122" s="303"/>
      <c r="J122" s="303"/>
      <c r="K122" s="479">
        <f t="shared" si="4"/>
        <v>5364.6204000000007</v>
      </c>
    </row>
    <row r="123" spans="1:11">
      <c r="A123" s="474" t="s">
        <v>134</v>
      </c>
      <c r="B123" s="99">
        <v>5750</v>
      </c>
      <c r="C123" s="303"/>
      <c r="D123" s="303"/>
      <c r="E123" s="303"/>
      <c r="F123" s="479">
        <f t="shared" si="3"/>
        <v>402.50000000000006</v>
      </c>
      <c r="G123" s="479">
        <f t="shared" si="5"/>
        <v>632.5</v>
      </c>
      <c r="H123" s="303"/>
      <c r="I123" s="303"/>
      <c r="J123" s="303"/>
      <c r="K123" s="479">
        <f t="shared" si="4"/>
        <v>4715</v>
      </c>
    </row>
    <row r="124" spans="1:11">
      <c r="A124" s="474" t="s">
        <v>135</v>
      </c>
      <c r="B124" s="99">
        <v>7997.09</v>
      </c>
      <c r="C124" s="303"/>
      <c r="D124" s="303"/>
      <c r="E124" s="303"/>
      <c r="F124" s="479">
        <f t="shared" si="3"/>
        <v>559.79630000000009</v>
      </c>
      <c r="G124" s="479">
        <f t="shared" si="5"/>
        <v>879.67989999999998</v>
      </c>
      <c r="H124" s="303"/>
      <c r="I124" s="303"/>
      <c r="J124" s="303"/>
      <c r="K124" s="479">
        <f t="shared" si="4"/>
        <v>6557.6138000000001</v>
      </c>
    </row>
    <row r="125" spans="1:11">
      <c r="A125" s="474" t="s">
        <v>136</v>
      </c>
      <c r="B125" s="99">
        <v>7393.65</v>
      </c>
      <c r="C125" s="303"/>
      <c r="D125" s="303"/>
      <c r="E125" s="303"/>
      <c r="F125" s="479">
        <f t="shared" si="3"/>
        <v>517.55550000000005</v>
      </c>
      <c r="G125" s="479">
        <f t="shared" si="5"/>
        <v>813.30149999999992</v>
      </c>
      <c r="H125" s="303"/>
      <c r="I125" s="303"/>
      <c r="J125" s="303"/>
      <c r="K125" s="479">
        <f t="shared" si="4"/>
        <v>6062.7929999999997</v>
      </c>
    </row>
    <row r="126" spans="1:11">
      <c r="A126" s="474" t="s">
        <v>137</v>
      </c>
      <c r="B126" s="99">
        <v>4500</v>
      </c>
      <c r="C126" s="303"/>
      <c r="D126" s="303"/>
      <c r="E126" s="303"/>
      <c r="F126" s="479">
        <f t="shared" si="3"/>
        <v>315.00000000000006</v>
      </c>
      <c r="G126" s="479">
        <f t="shared" si="5"/>
        <v>495</v>
      </c>
      <c r="H126" s="303"/>
      <c r="I126" s="303"/>
      <c r="J126" s="303"/>
      <c r="K126" s="479">
        <f t="shared" si="4"/>
        <v>3690</v>
      </c>
    </row>
    <row r="127" spans="1:11">
      <c r="A127" s="474" t="s">
        <v>138</v>
      </c>
      <c r="B127" s="99">
        <v>5750</v>
      </c>
      <c r="C127" s="303"/>
      <c r="D127" s="303"/>
      <c r="E127" s="303"/>
      <c r="F127" s="479">
        <f t="shared" si="3"/>
        <v>402.50000000000006</v>
      </c>
      <c r="G127" s="479">
        <f t="shared" si="5"/>
        <v>632.5</v>
      </c>
      <c r="H127" s="303"/>
      <c r="I127" s="303"/>
      <c r="J127" s="303"/>
      <c r="K127" s="479">
        <f t="shared" si="4"/>
        <v>4715</v>
      </c>
    </row>
    <row r="128" spans="1:11">
      <c r="A128" s="474" t="s">
        <v>139</v>
      </c>
      <c r="B128" s="99">
        <v>5000</v>
      </c>
      <c r="C128" s="303"/>
      <c r="D128" s="303"/>
      <c r="E128" s="303"/>
      <c r="F128" s="479">
        <f t="shared" si="3"/>
        <v>350.00000000000006</v>
      </c>
      <c r="G128" s="479">
        <f t="shared" si="5"/>
        <v>550</v>
      </c>
      <c r="H128" s="303"/>
      <c r="I128" s="303"/>
      <c r="J128" s="303"/>
      <c r="K128" s="479">
        <f t="shared" si="4"/>
        <v>4100</v>
      </c>
    </row>
    <row r="129" spans="1:11">
      <c r="A129" s="474" t="s">
        <v>140</v>
      </c>
      <c r="B129" s="99">
        <v>4500</v>
      </c>
      <c r="C129" s="303"/>
      <c r="D129" s="303"/>
      <c r="E129" s="303"/>
      <c r="F129" s="479">
        <f t="shared" si="3"/>
        <v>315.00000000000006</v>
      </c>
      <c r="G129" s="479">
        <f t="shared" si="5"/>
        <v>495</v>
      </c>
      <c r="H129" s="303"/>
      <c r="I129" s="303"/>
      <c r="J129" s="303"/>
      <c r="K129" s="479">
        <f t="shared" si="4"/>
        <v>3690</v>
      </c>
    </row>
    <row r="130" spans="1:11">
      <c r="A130" s="474" t="s">
        <v>142</v>
      </c>
      <c r="B130" s="99">
        <v>5750</v>
      </c>
      <c r="C130" s="303"/>
      <c r="D130" s="303"/>
      <c r="E130" s="303"/>
      <c r="F130" s="479">
        <f t="shared" si="3"/>
        <v>402.50000000000006</v>
      </c>
      <c r="G130" s="479">
        <f t="shared" si="5"/>
        <v>632.5</v>
      </c>
      <c r="H130" s="303"/>
      <c r="I130" s="303"/>
      <c r="J130" s="303"/>
      <c r="K130" s="479">
        <f t="shared" si="4"/>
        <v>4715</v>
      </c>
    </row>
    <row r="131" spans="1:11">
      <c r="A131" s="474" t="s">
        <v>143</v>
      </c>
      <c r="B131" s="99">
        <v>7750</v>
      </c>
      <c r="C131" s="303"/>
      <c r="D131" s="303"/>
      <c r="E131" s="303"/>
      <c r="F131" s="479">
        <f t="shared" si="3"/>
        <v>542.5</v>
      </c>
      <c r="G131" s="479">
        <f t="shared" si="5"/>
        <v>852.5</v>
      </c>
      <c r="H131" s="303"/>
      <c r="I131" s="303"/>
      <c r="J131" s="303"/>
      <c r="K131" s="479">
        <f t="shared" si="4"/>
        <v>6355</v>
      </c>
    </row>
    <row r="132" spans="1:11">
      <c r="A132" s="474" t="s">
        <v>145</v>
      </c>
      <c r="B132" s="99">
        <v>4500</v>
      </c>
      <c r="C132" s="303"/>
      <c r="D132" s="303"/>
      <c r="E132" s="303"/>
      <c r="F132" s="479">
        <f t="shared" ref="F132:F156" si="6">B132*0.07</f>
        <v>315.00000000000006</v>
      </c>
      <c r="G132" s="479">
        <f t="shared" si="5"/>
        <v>495</v>
      </c>
      <c r="H132" s="303"/>
      <c r="I132" s="303"/>
      <c r="J132" s="303"/>
      <c r="K132" s="479">
        <f t="shared" ref="K132:K156" si="7">B132-F132-G132</f>
        <v>3690</v>
      </c>
    </row>
    <row r="133" spans="1:11">
      <c r="A133" s="474" t="s">
        <v>146</v>
      </c>
      <c r="B133" s="99">
        <v>4500</v>
      </c>
      <c r="C133" s="303"/>
      <c r="D133" s="303"/>
      <c r="E133" s="303"/>
      <c r="F133" s="479">
        <f t="shared" si="6"/>
        <v>315.00000000000006</v>
      </c>
      <c r="G133" s="479">
        <f t="shared" ref="G133:G156" si="8">B133*0.11</f>
        <v>495</v>
      </c>
      <c r="H133" s="303"/>
      <c r="I133" s="303"/>
      <c r="J133" s="303"/>
      <c r="K133" s="479">
        <f t="shared" si="7"/>
        <v>3690</v>
      </c>
    </row>
    <row r="134" spans="1:11">
      <c r="A134" s="474" t="s">
        <v>147</v>
      </c>
      <c r="B134" s="99">
        <v>5000</v>
      </c>
      <c r="C134" s="303"/>
      <c r="D134" s="303"/>
      <c r="E134" s="303"/>
      <c r="F134" s="479">
        <f t="shared" si="6"/>
        <v>350.00000000000006</v>
      </c>
      <c r="G134" s="479">
        <f t="shared" si="8"/>
        <v>550</v>
      </c>
      <c r="H134" s="303"/>
      <c r="I134" s="303"/>
      <c r="J134" s="303"/>
      <c r="K134" s="479">
        <f t="shared" si="7"/>
        <v>4100</v>
      </c>
    </row>
    <row r="135" spans="1:11">
      <c r="A135" s="474" t="s">
        <v>148</v>
      </c>
      <c r="B135" s="99">
        <v>5500</v>
      </c>
      <c r="C135" s="303"/>
      <c r="D135" s="303"/>
      <c r="E135" s="303"/>
      <c r="F135" s="479">
        <f t="shared" si="6"/>
        <v>385.00000000000006</v>
      </c>
      <c r="G135" s="479">
        <f t="shared" si="8"/>
        <v>605</v>
      </c>
      <c r="H135" s="303"/>
      <c r="I135" s="303"/>
      <c r="J135" s="303"/>
      <c r="K135" s="479">
        <f t="shared" si="7"/>
        <v>4510</v>
      </c>
    </row>
    <row r="136" spans="1:11">
      <c r="A136" s="474" t="s">
        <v>149</v>
      </c>
      <c r="B136" s="99">
        <v>8000</v>
      </c>
      <c r="C136" s="303"/>
      <c r="D136" s="303"/>
      <c r="E136" s="303"/>
      <c r="F136" s="479">
        <f t="shared" si="6"/>
        <v>560</v>
      </c>
      <c r="G136" s="479">
        <f t="shared" si="8"/>
        <v>880</v>
      </c>
      <c r="H136" s="303"/>
      <c r="I136" s="303"/>
      <c r="J136" s="303"/>
      <c r="K136" s="479">
        <f t="shared" si="7"/>
        <v>6560</v>
      </c>
    </row>
    <row r="137" spans="1:11">
      <c r="A137" s="474" t="s">
        <v>187</v>
      </c>
      <c r="B137" s="99">
        <v>6000</v>
      </c>
      <c r="C137" s="303"/>
      <c r="D137" s="303"/>
      <c r="E137" s="303"/>
      <c r="F137" s="479">
        <f t="shared" si="6"/>
        <v>420.00000000000006</v>
      </c>
      <c r="G137" s="479">
        <f t="shared" si="8"/>
        <v>660</v>
      </c>
      <c r="H137" s="303"/>
      <c r="I137" s="303"/>
      <c r="J137" s="303"/>
      <c r="K137" s="479">
        <f t="shared" si="7"/>
        <v>4920</v>
      </c>
    </row>
    <row r="138" spans="1:11">
      <c r="A138" s="474" t="s">
        <v>151</v>
      </c>
      <c r="B138" s="99">
        <v>7000</v>
      </c>
      <c r="C138" s="303"/>
      <c r="D138" s="303"/>
      <c r="E138" s="303"/>
      <c r="F138" s="479">
        <f t="shared" si="6"/>
        <v>490.00000000000006</v>
      </c>
      <c r="G138" s="479">
        <f t="shared" si="8"/>
        <v>770</v>
      </c>
      <c r="H138" s="303"/>
      <c r="I138" s="303"/>
      <c r="J138" s="303"/>
      <c r="K138" s="479">
        <f t="shared" si="7"/>
        <v>5740</v>
      </c>
    </row>
    <row r="139" spans="1:11">
      <c r="A139" s="474" t="s">
        <v>196</v>
      </c>
      <c r="B139" s="99">
        <v>6000</v>
      </c>
      <c r="C139" s="303"/>
      <c r="D139" s="303"/>
      <c r="E139" s="303"/>
      <c r="F139" s="479">
        <f t="shared" si="6"/>
        <v>420.00000000000006</v>
      </c>
      <c r="G139" s="479">
        <f t="shared" si="8"/>
        <v>660</v>
      </c>
      <c r="H139" s="303"/>
      <c r="I139" s="303"/>
      <c r="J139" s="303"/>
      <c r="K139" s="479">
        <f t="shared" si="7"/>
        <v>4920</v>
      </c>
    </row>
    <row r="140" spans="1:11">
      <c r="A140" s="481" t="s">
        <v>154</v>
      </c>
      <c r="B140" s="99">
        <v>39200</v>
      </c>
      <c r="C140" s="474">
        <v>2000</v>
      </c>
      <c r="D140" s="303"/>
      <c r="E140" s="303"/>
      <c r="F140" s="479">
        <f t="shared" si="6"/>
        <v>2744.0000000000005</v>
      </c>
      <c r="G140" s="479">
        <f t="shared" si="8"/>
        <v>4312</v>
      </c>
      <c r="H140" s="303">
        <v>2000</v>
      </c>
      <c r="I140" s="303">
        <v>2000</v>
      </c>
      <c r="J140" s="303">
        <v>2000</v>
      </c>
      <c r="K140" s="479">
        <f t="shared" si="7"/>
        <v>32144</v>
      </c>
    </row>
    <row r="141" spans="1:11">
      <c r="A141" s="474" t="s">
        <v>373</v>
      </c>
      <c r="B141" s="99">
        <v>73000</v>
      </c>
      <c r="C141" s="474">
        <v>2000</v>
      </c>
      <c r="D141" s="303"/>
      <c r="E141" s="303"/>
      <c r="F141" s="479">
        <f t="shared" si="6"/>
        <v>5110.0000000000009</v>
      </c>
      <c r="G141" s="479">
        <f t="shared" si="8"/>
        <v>8030</v>
      </c>
      <c r="H141" s="303">
        <v>2000</v>
      </c>
      <c r="I141" s="303">
        <v>2000</v>
      </c>
      <c r="J141" s="303">
        <v>2000</v>
      </c>
      <c r="K141" s="479">
        <f t="shared" si="7"/>
        <v>59860</v>
      </c>
    </row>
    <row r="142" spans="1:11">
      <c r="A142" s="474" t="s">
        <v>170</v>
      </c>
      <c r="B142" s="99">
        <v>25100</v>
      </c>
      <c r="C142" s="474">
        <v>2000</v>
      </c>
      <c r="D142" s="303"/>
      <c r="E142" s="303"/>
      <c r="F142" s="479">
        <f t="shared" si="6"/>
        <v>1757.0000000000002</v>
      </c>
      <c r="G142" s="479">
        <f t="shared" si="8"/>
        <v>2761</v>
      </c>
      <c r="H142" s="303">
        <v>2000</v>
      </c>
      <c r="I142" s="303">
        <v>2000</v>
      </c>
      <c r="J142" s="303">
        <v>2000</v>
      </c>
      <c r="K142" s="479">
        <f t="shared" si="7"/>
        <v>20582</v>
      </c>
    </row>
    <row r="143" spans="1:11">
      <c r="A143" s="474" t="s">
        <v>155</v>
      </c>
      <c r="B143" s="99">
        <v>23430</v>
      </c>
      <c r="C143" s="474">
        <v>2000</v>
      </c>
      <c r="D143" s="303"/>
      <c r="E143" s="303"/>
      <c r="F143" s="479">
        <f t="shared" si="6"/>
        <v>1640.1000000000001</v>
      </c>
      <c r="G143" s="479">
        <f t="shared" si="8"/>
        <v>2577.3000000000002</v>
      </c>
      <c r="H143" s="303">
        <v>2000</v>
      </c>
      <c r="I143" s="303">
        <v>2000</v>
      </c>
      <c r="J143" s="303">
        <v>2000</v>
      </c>
      <c r="K143" s="479">
        <f t="shared" si="7"/>
        <v>19212.600000000002</v>
      </c>
    </row>
    <row r="144" spans="1:11">
      <c r="A144" s="474" t="s">
        <v>268</v>
      </c>
      <c r="B144" s="99">
        <v>16400</v>
      </c>
      <c r="C144" s="474">
        <v>600</v>
      </c>
      <c r="D144" s="303"/>
      <c r="E144" s="303"/>
      <c r="F144" s="479">
        <f t="shared" si="6"/>
        <v>1148</v>
      </c>
      <c r="G144" s="479">
        <f t="shared" si="8"/>
        <v>1804</v>
      </c>
      <c r="H144" s="303"/>
      <c r="I144" s="303"/>
      <c r="J144" s="303"/>
      <c r="K144" s="479">
        <f t="shared" si="7"/>
        <v>13448</v>
      </c>
    </row>
    <row r="145" spans="1:11">
      <c r="A145" s="474" t="s">
        <v>156</v>
      </c>
      <c r="B145" s="99">
        <v>9703.83</v>
      </c>
      <c r="C145" s="474"/>
      <c r="D145" s="303"/>
      <c r="E145" s="303"/>
      <c r="F145" s="479">
        <f t="shared" si="6"/>
        <v>679.2681</v>
      </c>
      <c r="G145" s="479">
        <f t="shared" si="8"/>
        <v>1067.4213</v>
      </c>
      <c r="H145" s="303"/>
      <c r="I145" s="303"/>
      <c r="J145" s="303"/>
      <c r="K145" s="479">
        <f t="shared" si="7"/>
        <v>7957.1406000000006</v>
      </c>
    </row>
    <row r="146" spans="1:11">
      <c r="A146" s="474" t="s">
        <v>157</v>
      </c>
      <c r="B146" s="99">
        <v>13057.2</v>
      </c>
      <c r="C146" s="474"/>
      <c r="D146" s="303"/>
      <c r="E146" s="303"/>
      <c r="F146" s="479">
        <f t="shared" si="6"/>
        <v>914.00400000000013</v>
      </c>
      <c r="G146" s="479">
        <f t="shared" si="8"/>
        <v>1436.2920000000001</v>
      </c>
      <c r="H146" s="303"/>
      <c r="I146" s="303"/>
      <c r="J146" s="303"/>
      <c r="K146" s="479">
        <f t="shared" si="7"/>
        <v>10706.904</v>
      </c>
    </row>
    <row r="147" spans="1:11">
      <c r="A147" s="474" t="s">
        <v>158</v>
      </c>
      <c r="B147" s="99">
        <v>12043.2</v>
      </c>
      <c r="C147" s="474"/>
      <c r="D147" s="303"/>
      <c r="E147" s="303"/>
      <c r="F147" s="479">
        <f t="shared" si="6"/>
        <v>843.02400000000011</v>
      </c>
      <c r="G147" s="479">
        <f t="shared" si="8"/>
        <v>1324.7520000000002</v>
      </c>
      <c r="H147" s="303"/>
      <c r="I147" s="303">
        <v>1500</v>
      </c>
      <c r="J147" s="303"/>
      <c r="K147" s="479">
        <f t="shared" si="7"/>
        <v>9875.4240000000009</v>
      </c>
    </row>
    <row r="148" spans="1:11">
      <c r="A148" s="474" t="s">
        <v>159</v>
      </c>
      <c r="B148" s="99">
        <v>9800</v>
      </c>
      <c r="C148" s="474"/>
      <c r="D148" s="303"/>
      <c r="E148" s="303"/>
      <c r="F148" s="479">
        <f t="shared" si="6"/>
        <v>686.00000000000011</v>
      </c>
      <c r="G148" s="479">
        <f t="shared" si="8"/>
        <v>1078</v>
      </c>
      <c r="H148" s="303"/>
      <c r="I148" s="303">
        <v>1500</v>
      </c>
      <c r="J148" s="303"/>
      <c r="K148" s="479">
        <f t="shared" si="7"/>
        <v>8036</v>
      </c>
    </row>
    <row r="149" spans="1:11">
      <c r="A149" s="474" t="s">
        <v>174</v>
      </c>
      <c r="B149" s="99">
        <v>18023.400000000001</v>
      </c>
      <c r="C149" s="474"/>
      <c r="D149" s="303"/>
      <c r="E149" s="303"/>
      <c r="F149" s="479">
        <f t="shared" si="6"/>
        <v>1261.6380000000001</v>
      </c>
      <c r="G149" s="479">
        <f t="shared" si="8"/>
        <v>1982.5740000000001</v>
      </c>
      <c r="H149" s="303"/>
      <c r="I149" s="303">
        <v>1000</v>
      </c>
      <c r="J149" s="303"/>
      <c r="K149" s="479">
        <f t="shared" si="7"/>
        <v>14779.188000000002</v>
      </c>
    </row>
    <row r="150" spans="1:11">
      <c r="A150" s="474" t="s">
        <v>160</v>
      </c>
      <c r="B150" s="99">
        <v>13819.71</v>
      </c>
      <c r="C150" s="474">
        <v>1600</v>
      </c>
      <c r="D150" s="303"/>
      <c r="E150" s="303"/>
      <c r="F150" s="479">
        <f t="shared" si="6"/>
        <v>967.37970000000007</v>
      </c>
      <c r="G150" s="479">
        <f t="shared" si="8"/>
        <v>1520.1680999999999</v>
      </c>
      <c r="H150" s="303"/>
      <c r="I150" s="303"/>
      <c r="J150" s="303"/>
      <c r="K150" s="479">
        <f t="shared" si="7"/>
        <v>11332.162199999999</v>
      </c>
    </row>
    <row r="151" spans="1:11">
      <c r="A151" s="474" t="s">
        <v>183</v>
      </c>
      <c r="B151" s="99">
        <v>17300</v>
      </c>
      <c r="C151" s="474"/>
      <c r="D151" s="303"/>
      <c r="E151" s="303"/>
      <c r="F151" s="479">
        <f t="shared" si="6"/>
        <v>1211.0000000000002</v>
      </c>
      <c r="G151" s="479">
        <f t="shared" si="8"/>
        <v>1903</v>
      </c>
      <c r="H151" s="303"/>
      <c r="I151" s="303"/>
      <c r="J151" s="303"/>
      <c r="K151" s="479">
        <f t="shared" si="7"/>
        <v>14186</v>
      </c>
    </row>
    <row r="152" spans="1:11">
      <c r="A152" s="474" t="s">
        <v>118</v>
      </c>
      <c r="B152" s="99">
        <v>14300</v>
      </c>
      <c r="C152" s="474">
        <v>2000</v>
      </c>
      <c r="D152" s="303"/>
      <c r="E152" s="303"/>
      <c r="F152" s="479">
        <f t="shared" si="6"/>
        <v>1001.0000000000001</v>
      </c>
      <c r="G152" s="479">
        <f t="shared" si="8"/>
        <v>1573</v>
      </c>
      <c r="H152" s="303"/>
      <c r="I152" s="303"/>
      <c r="J152" s="303"/>
      <c r="K152" s="479">
        <f t="shared" si="7"/>
        <v>11726</v>
      </c>
    </row>
    <row r="153" spans="1:11">
      <c r="A153" s="474" t="s">
        <v>115</v>
      </c>
      <c r="B153" s="99">
        <v>12500</v>
      </c>
      <c r="C153" s="474"/>
      <c r="D153" s="303"/>
      <c r="E153" s="303"/>
      <c r="F153" s="479">
        <f t="shared" si="6"/>
        <v>875.00000000000011</v>
      </c>
      <c r="G153" s="479">
        <f t="shared" si="8"/>
        <v>1375</v>
      </c>
      <c r="H153" s="303"/>
      <c r="I153" s="303"/>
      <c r="J153" s="303"/>
      <c r="K153" s="479">
        <f t="shared" si="7"/>
        <v>10250</v>
      </c>
    </row>
    <row r="154" spans="1:11">
      <c r="A154" s="474" t="s">
        <v>359</v>
      </c>
      <c r="B154" s="99">
        <v>40000</v>
      </c>
      <c r="C154" s="474"/>
      <c r="D154" s="303"/>
      <c r="E154" s="303"/>
      <c r="F154" s="479">
        <f t="shared" si="6"/>
        <v>2800.0000000000005</v>
      </c>
      <c r="G154" s="479">
        <f t="shared" si="8"/>
        <v>4400</v>
      </c>
      <c r="H154" s="303"/>
      <c r="I154" s="303"/>
      <c r="J154" s="303"/>
      <c r="K154" s="479">
        <f t="shared" si="7"/>
        <v>32800</v>
      </c>
    </row>
    <row r="155" spans="1:11">
      <c r="A155" s="474" t="s">
        <v>460</v>
      </c>
      <c r="B155" s="99">
        <v>28000</v>
      </c>
      <c r="C155" s="474">
        <v>2000</v>
      </c>
      <c r="D155" s="303"/>
      <c r="E155" s="303"/>
      <c r="F155" s="479">
        <f t="shared" si="6"/>
        <v>1960.0000000000002</v>
      </c>
      <c r="G155" s="479">
        <f t="shared" si="8"/>
        <v>3080</v>
      </c>
      <c r="H155" s="303"/>
      <c r="I155" s="303"/>
      <c r="J155" s="303"/>
      <c r="K155" s="479">
        <f t="shared" si="7"/>
        <v>22960</v>
      </c>
    </row>
    <row r="156" spans="1:11">
      <c r="A156" s="474" t="s">
        <v>437</v>
      </c>
      <c r="B156" s="99">
        <v>12000</v>
      </c>
      <c r="C156" s="474"/>
      <c r="D156" s="303"/>
      <c r="E156" s="303"/>
      <c r="F156" s="479">
        <f t="shared" si="6"/>
        <v>840.00000000000011</v>
      </c>
      <c r="G156" s="479">
        <f t="shared" si="8"/>
        <v>1320</v>
      </c>
      <c r="H156" s="303"/>
      <c r="I156" s="303"/>
      <c r="J156" s="303"/>
      <c r="K156" s="479">
        <f t="shared" si="7"/>
        <v>9840</v>
      </c>
    </row>
    <row r="157" spans="1:11" ht="38.25" customHeight="1">
      <c r="A157" s="474" t="s">
        <v>470</v>
      </c>
      <c r="B157" s="483">
        <f t="shared" ref="B157:K157" si="9">SUM(B4:B156)</f>
        <v>1542817.8599999999</v>
      </c>
      <c r="C157" s="474">
        <f t="shared" si="9"/>
        <v>39460</v>
      </c>
      <c r="D157" s="474">
        <f t="shared" si="9"/>
        <v>6000</v>
      </c>
      <c r="E157" s="474">
        <f t="shared" si="9"/>
        <v>1500</v>
      </c>
      <c r="F157" s="483">
        <f t="shared" si="9"/>
        <v>107997.25020000001</v>
      </c>
      <c r="G157" s="483">
        <f t="shared" si="9"/>
        <v>169709.96460000004</v>
      </c>
      <c r="H157" s="474">
        <f t="shared" si="9"/>
        <v>8000</v>
      </c>
      <c r="I157" s="474">
        <f t="shared" si="9"/>
        <v>12000</v>
      </c>
      <c r="J157" s="474">
        <f t="shared" si="9"/>
        <v>8000</v>
      </c>
      <c r="K157" s="483">
        <f t="shared" si="9"/>
        <v>1265110.6452000001</v>
      </c>
    </row>
    <row r="158" spans="1:11">
      <c r="A158" s="821"/>
      <c r="B158" s="821"/>
      <c r="C158" s="821"/>
      <c r="D158" s="821"/>
      <c r="E158" s="821"/>
      <c r="F158" s="821"/>
      <c r="G158" s="821"/>
      <c r="H158" s="821"/>
      <c r="I158" s="821"/>
      <c r="J158" s="821"/>
      <c r="K158" s="821"/>
    </row>
  </sheetData>
  <mergeCells count="2">
    <mergeCell ref="A2:K2"/>
    <mergeCell ref="A158:K158"/>
  </mergeCells>
  <pageMargins left="0.7" right="0.7" top="0.75" bottom="0.75" header="0.3" footer="0.3"/>
  <pageSetup scale="75" orientation="portrait" horizontalDpi="0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"/>
  <sheetViews>
    <sheetView workbookViewId="0"/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Teachers</vt:lpstr>
      <vt:lpstr>KG,Supporting</vt:lpstr>
      <vt:lpstr>SUPPORT</vt:lpstr>
      <vt:lpstr>KG TEACHERS</vt:lpstr>
      <vt:lpstr>ADMIN 1</vt:lpstr>
      <vt:lpstr>BANK Awshe</vt:lpstr>
      <vt:lpstr>Admin 2</vt:lpstr>
      <vt:lpstr>Sheet6</vt:lpstr>
      <vt:lpstr>Birhan </vt:lpstr>
      <vt:lpstr>Sheet1</vt:lpstr>
      <vt:lpstr>Sheet2</vt:lpstr>
      <vt:lpstr>Sheet3</vt:lpstr>
      <vt:lpstr>Sheet4</vt:lpstr>
      <vt:lpstr>Sheet5</vt:lpstr>
      <vt:lpstr>Sheet10</vt:lpstr>
      <vt:lpstr>Sheet11</vt:lpstr>
      <vt:lpstr>'ADMIN 1'!Print_Area</vt:lpstr>
      <vt:lpstr>'Admin 2'!Print_Area</vt:lpstr>
      <vt:lpstr>'KG TEACHERS'!Print_Area</vt:lpstr>
      <vt:lpstr>'KG,Supporting'!Print_Area</vt:lpstr>
      <vt:lpstr>SUPPORT!Print_Area</vt:lpstr>
      <vt:lpstr>Teachers!Print_Area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MOUNT OLIVE SCHOOL</dc:creator>
  <cp:lastModifiedBy>Temesgen Fikadu Baysa</cp:lastModifiedBy>
  <cp:lastPrinted>2026-06-02T12:12:11Z</cp:lastPrinted>
  <dcterms:created xsi:type="dcterms:W3CDTF">2006-09-16T00:00:00Z</dcterms:created>
  <dcterms:modified xsi:type="dcterms:W3CDTF">2026-07-23T06:57:27Z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64FB19B96ACE4C97AF598374356FB618</vt:lpwstr>
  </property>
  <property fmtid="{D5CDD505-2E9C-101B-9397-08002B2CF9AE}" pid="3" name="KSOProductBuildVer">
    <vt:lpwstr>1033-10.1.0.5490</vt:lpwstr>
  </property>
</Properties>
</file>